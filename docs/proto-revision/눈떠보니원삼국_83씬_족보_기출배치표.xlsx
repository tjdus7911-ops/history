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6d9495033443a6" /></Relationships>
</file>

<file path=xl/workbook.xml><?xml version="1.0" encoding="utf-8"?>
<x:workbook xmlns:x="http://schemas.openxmlformats.org/spreadsheetml/2006/main">
  <x:sheets>
    <x:sheet xmlns:r="http://schemas.openxmlformats.org/officeDocument/2006/relationships" name="씬별연결" sheetId="1" r:id="Ra0db588914b94fdc"/>
    <x:sheet xmlns:r="http://schemas.openxmlformats.org/officeDocument/2006/relationships" name="실제출제순서" sheetId="2" r:id="Rff79299abca24b1c"/>
    <x:sheet xmlns:r="http://schemas.openxmlformats.org/officeDocument/2006/relationships" name="문항원장" sheetId="3" r:id="R2b597641ea4a4166"/>
    <x:sheet xmlns:r="http://schemas.openxmlformats.org/officeDocument/2006/relationships" name="족보반영" sheetId="4" r:id="R13d2a749abf6406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0"/>
      <x:color rgb="FF253341"/>
      <x:name val="Arial"/>
    </x:font>
    <x:font>
      <x:b/>
      <x:sz val="14"/>
      <x:color rgb="FF243849"/>
      <x:name val="Arial"/>
    </x:font>
    <x:font>
      <x:sz val="10"/>
      <x:color rgb="FF5A6875"/>
      <x:name val="Arial"/>
    </x:font>
    <x:font>
      <x:b/>
      <x:sz val="10"/>
      <x:color rgb="FFFFFFFF"/>
      <x:name val="Arial"/>
    </x:font>
    <x:font>
      <x:b/>
      <x:sz val="10"/>
      <x:color rgb="FF243849"/>
      <x:name val="Arial"/>
    </x:font>
    <x:font>
      <x:b/>
      <x:sz val="10"/>
      <x:color rgb="FF3E6078"/>
      <x:name val="Arial"/>
    </x:font>
    <x:font>
      <x:sz val="10"/>
      <x:color rgb="FF3E6078"/>
      <x:name val="Arial"/>
    </x:font>
  </x:fonts>
  <x:fills count="5">
    <x:fill>
      <x:patternFill patternType="none"/>
    </x:fill>
    <x:fill>
      <x:patternFill patternType="gray125"/>
    </x:fill>
    <x:fill>
      <x:patternFill patternType="solid">
        <x:fgColor rgb="FFFFFFFF"/>
      </x:patternFill>
    </x:fill>
    <x:fill>
      <x:patternFill patternType="solid">
        <x:fgColor rgb="FFF3F6F8"/>
      </x:patternFill>
    </x:fill>
    <x:fill>
      <x:patternFill patternType="solid">
        <x:fgColor rgb="FF243849"/>
      </x:patternFill>
    </x:fill>
  </x:fills>
  <x:borders count="6">
    <x:border>
      <x:left/>
      <x:right/>
      <x:top/>
      <x:bottom/>
      <x:diagonal/>
    </x:border>
    <x:border>
      <x:left/>
      <x:right/>
      <x:top/>
      <x:bottom style="thin">
        <x:color rgb="FF3E6078"/>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C8D2D9"/>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2"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4" xfId="0" applyNumberFormat="1" applyFont="1" applyFill="1" applyBorder="1" applyAlignment="1">
      <x:alignment vertical="center"/>
    </x:xf>
    <x:xf numFmtId="0" fontId="4" fillId="4" borderId="2" xfId="0" applyNumberFormat="1" applyFont="1" applyFill="1" applyBorder="1" applyAlignment="1">
      <x:alignment vertical="center" wrapText="1"/>
    </x:xf>
    <x:xf numFmtId="0" fontId="4" fillId="4" borderId="3"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1" fillId="2" borderId="5"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2" borderId="5"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0" fontId="1" fillId="2" borderId="5" xfId="0" applyNumberFormat="1" applyFont="1" applyFill="1" applyBorder="1" applyAlignment="1">
      <x:alignment horizontal="right" vertical="top" wrapText="1"/>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0" borderId="0" xfId="0" applyNumberFormat="1" applyFont="1" applyFill="1" applyBorder="1" applyAlignment="1">
      <x:alignment horizontal="left" vertical="center"/>
    </x:xf>
    <x:xf numFmtId="0" fontId="6" fillId="3"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7" fillId="2"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74a9c8cc784db9" /><Relationship Type="http://schemas.openxmlformats.org/officeDocument/2006/relationships/theme" Target="/xl/theme/theme1.xml" Id="R81836b6f2f5b4259" /><Relationship Type="http://schemas.openxmlformats.org/officeDocument/2006/relationships/sharedStrings" Target="/xl/sharedStrings.xml" Id="R425e8e6587cd4f8c" /><Relationship Type="http://schemas.openxmlformats.org/officeDocument/2006/relationships/worksheet" Target="/xl/worksheets/sheet1.xml" Id="Ra0db588914b94fdc" /><Relationship Type="http://schemas.openxmlformats.org/officeDocument/2006/relationships/worksheet" Target="/xl/worksheets/sheet2.xml" Id="Rff79299abca24b1c" /><Relationship Type="http://schemas.openxmlformats.org/officeDocument/2006/relationships/worksheet" Target="/xl/worksheets/sheet3.xml" Id="R2b597641ea4a4166" /><Relationship Type="http://schemas.openxmlformats.org/officeDocument/2006/relationships/worksheet" Target="/xl/worksheets/sheet4.xml" Id="R13d2a749abf64060" /></Relationships>
</file>

<file path=xl/tables/table1.xml><?xml version="1.0" encoding="utf-8"?>
<x:table xmlns:x="http://schemas.openxmlformats.org/spreadsheetml/2006/main" id="1" name="ProtoSceneLinks" displayName="ProtoSceneLinks" ref="A6:I89" headerRowCount="1" totalsRowCount="0" totalsRowShown="0">
  <x:autoFilter ref="A6:I89"/>
  <x:tableColumns count="9">
    <x:tableColumn id="1" name="씬"/>
    <x:tableColumn id="2" name="장면 제목"/>
    <x:tableColumn id="3" name="학습 ID"/>
    <x:tableColumn id="4" name="공통 대사에서 배우는 내용"/>
    <x:tableColumn id="5" name="기억할 장면"/>
    <x:tableColumn id="6" name="대사 선택지 수"/>
    <x:tableColumn id="7" name="연결 기출"/>
    <x:tableColumn id="8" name="여기서 출제"/>
    <x:tableColumn id="9" name="다음 씬"/>
  </x:tableColumns>
  <x:tableStyleInfo name="TableStyleMedium2" showFirstColumn="0" showLastColumn="0" showRowStripes="1" showColumnStripes="0"/>
</x:table>
</file>

<file path=xl/tables/table2.xml><?xml version="1.0" encoding="utf-8"?>
<x:table xmlns:x="http://schemas.openxmlformats.org/spreadsheetml/2006/main" id="2" name="ProtoExamQueues" displayName="ProtoExamQueues" ref="A6:H29" headerRowCount="1" totalsRowCount="0" totalsRowShown="0">
  <x:autoFilter ref="A6:H29"/>
  <x:tableColumns count="8">
    <x:tableColumn id="1" name="순서"/>
    <x:tableColumn id="2" name="출제 뒤 씬"/>
    <x:tableColumn id="3" name="공식 기출"/>
    <x:tableColumn id="4" name="문제를 여는 마지막 공통 대사"/>
    <x:tableColumn id="5" name="필수로 읽을 씬"/>
    <x:tableColumn id="6" name="현재 플레이 해설"/>
    <x:tableColumn id="7" name="기존 위치와 변경 이유"/>
    <x:tableColumn id="8" name="아직 배우지 않은 보기의 해설"/>
  </x:tableColumns>
  <x:tableStyleInfo name="TableStyleMedium2" showFirstColumn="0" showLastColumn="0" showRowStripes="1" showColumnStripes="0"/>
</x:table>
</file>

<file path=xl/tables/table3.xml><?xml version="1.0" encoding="utf-8"?>
<x:table xmlns:x="http://schemas.openxmlformats.org/spreadsheetml/2006/main" id="3" name="ProtoOfficialLedger" displayName="ProtoOfficialLedger" ref="A6:I29" headerRowCount="1" totalsRowCount="0" totalsRowShown="0">
  <x:autoFilter ref="A6:I29"/>
  <x:tableColumns count="9">
    <x:tableColumn id="1" name="공식 문항 ID"/>
    <x:tableColumn id="2" name="회차·등급·번호"/>
    <x:tableColumn id="3" name="정답 번호 (1 기반)"/>
    <x:tableColumn id="4" name="보기 수"/>
    <x:tableColumn id="5" name="정답 판단에 쓰는 개념"/>
    <x:tableColumn id="6" name="저장소 원문 이미지"/>
    <x:tableColumn id="7" name="공식 자료 페이지"/>
    <x:tableColumn id="8" name="원문·정답 다운로드와 해시"/>
    <x:tableColumn id="9" name="검토 범위"/>
  </x:tableColumns>
  <x:tableStyleInfo name="TableStyleMedium2" showFirstColumn="0" showLastColumn="0" showRowStripes="1" showColumnStripes="0"/>
</x:table>
</file>

<file path=xl/tables/table4.xml><?xml version="1.0" encoding="utf-8"?>
<x:table xmlns:x="http://schemas.openxmlformats.org/spreadsheetml/2006/main" id="4" name="ProtoLearningLedger" displayName="ProtoLearningLedger" ref="A6:H37" headerRowCount="1" totalsRowCount="0" totalsRowShown="0">
  <x:autoFilter ref="A6:H37"/>
  <x:tableColumns count="8">
    <x:tableColumn id="1" name="학습 ID"/>
    <x:tableColumn id="2" name="나라"/>
    <x:tableColumn id="3" name="학습 내용"/>
    <x:tableColumn id="4" name="첫 공통 학습"/>
    <x:tableColumn id="5" name="다시 연결되는 씬"/>
    <x:tableColumn id="6" name="사진에서 확인한 표기"/>
    <x:tableColumn id="7" name="반영 구분"/>
    <x:tableColumn id="8" name="사료·기관 자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7c91ca2fa64051" /></Relationships>
</file>

<file path=xl/worksheets/_rels/sheet2.xml.rels>&#65279;<?xml version="1.0" encoding="utf-8"?><Relationships xmlns="http://schemas.openxmlformats.org/package/2006/relationships"><Relationship Type="http://schemas.openxmlformats.org/officeDocument/2006/relationships/table" Target="/xl/tables/table2.xml" Id="R59a00dd943444b1a" /></Relationships>
</file>

<file path=xl/worksheets/_rels/sheet3.xml.rels>&#65279;<?xml version="1.0" encoding="utf-8"?><Relationships xmlns="http://schemas.openxmlformats.org/package/2006/relationships"><Relationship Type="http://schemas.openxmlformats.org/officeDocument/2006/relationships/table" Target="/xl/tables/table3.xml" Id="R6b76595cf2ed4c71" /></Relationships>
</file>

<file path=xl/worksheets/_rels/sheet4.xml.rels>&#65279;<?xml version="1.0" encoding="utf-8"?><Relationships xmlns="http://schemas.openxmlformats.org/package/2006/relationships"><Relationship Type="http://schemas.openxmlformats.org/officeDocument/2006/relationships/table" Target="/xl/tables/table4.xml" Id="R0314f01b10694dc7" /></Relationships>
</file>

<file path=xl/worksheets/sheet1.xml><?xml version="1.0" encoding="utf-8"?>
<x:worksheet xmlns:x="http://schemas.openxmlformats.org/spreadsheetml/2006/main">
  <x:sheetPr>
    <x:tabColor rgb="FF243849"/>
  </x:sheetPr>
  <x:sheetViews>
    <x:sheetView showGridLines="0" workbookViewId="0">
      <x:pane xSplit="2" ySplit="6" topLeftCell="C7" activePane="bottomRight" state="frozen"/>
    </x:sheetView>
  </x:sheetViews>
  <x:sheetFormatPr defaultRowHeight="15"/>
  <x:cols>
    <x:col min="1" max="1" width="15.779999732971191" hidden="0" customWidth="1"/>
    <x:col min="2" max="2" width="20" hidden="0" customWidth="1"/>
    <x:col min="3" max="3" width="11.779999732971191" hidden="0" customWidth="1"/>
    <x:col min="4" max="4" width="46.66999816894531" hidden="0" customWidth="1"/>
    <x:col min="5" max="5" width="33.88999938964844" hidden="0" customWidth="1"/>
    <x:col min="6" max="6" width="9.329999923706055" hidden="0" customWidth="1"/>
    <x:col min="7" max="7" width="20.559999465942383" hidden="0" customWidth="1"/>
    <x:col min="8" max="8" width="20.559999465942383" hidden="0" customWidth="1"/>
    <x:col min="9" max="9" width="15.779999732971191" hidden="0" customWidth="1"/>
  </x:cols>
  <x:sheetData>
    <x:row r="1" ht="9" customHeight="1">
      <x:c r="A1" s="2"/>
      <x:c r="B1" s="2"/>
      <x:c r="C1" s="2"/>
      <x:c r="D1" s="2"/>
      <x:c r="E1" s="2"/>
      <x:c r="F1" s="2"/>
      <x:c r="G1" s="2"/>
      <x:c r="H1" s="2"/>
      <x:c r="I1" s="2"/>
    </x:row>
    <x:row r="2" ht="22.5" customHeight="1">
      <x:c r="A2" s="4" t="str">
        <x:v>원삼국 · 83씬 대본과 기출 연결</x:v>
      </x:c>
      <x:c r="B2" s="5"/>
      <x:c r="C2" s="5"/>
      <x:c r="D2" s="5"/>
      <x:c r="E2" s="5"/>
      <x:c r="F2" s="5"/>
      <x:c r="G2" s="5"/>
      <x:c r="H2" s="5"/>
      <x:c r="I2" s="5"/>
    </x:row>
    <x:row r="3" ht="18" customHeight="1">
      <x:c r="A3" s="7" t="str">
        <x:v>개정 원고 v1 · 원고와 연결 계획이며 게임 적용 전입니다. 연결 기출은 학습 관계, 여기서 출제는 실제 문제를 여는 위치입니다.</x:v>
      </x:c>
      <x:c r="B3" s="2"/>
      <x:c r="C3" s="2"/>
      <x:c r="D3" s="2"/>
      <x:c r="E3" s="2"/>
      <x:c r="F3" s="2"/>
      <x:c r="G3" s="2"/>
      <x:c r="H3" s="2"/>
      <x:c r="I3" s="2"/>
    </x:row>
    <x:row r="4" ht="18" customHeight="1">
      <x:c r="A4" s="30" t="str">
        <x:v>씬 수</x:v>
      </x:c>
      <x:c r="B4" s="32" t="n">
        <x:f>COUNTA(A7:A89)</x:f>
        <x:v>83</x:v>
      </x:c>
      <x:c r="C4" s="30" t="str">
        <x:v>선택 장면</x:v>
      </x:c>
      <x:c r="D4" s="32" t="n">
        <x:f>COUNTIF(F7:F89,"&gt;0")</x:f>
        <x:v>36</x:v>
      </x:c>
      <x:c r="E4" s="30" t="str">
        <x:v>대사 선택지</x:v>
      </x:c>
      <x:c r="F4" s="32" t="n">
        <x:f>SUM(F7:F89)</x:f>
        <x:v>108</x:v>
      </x:c>
      <x:c r="G4" s="30" t="str">
        <x:v>선정 기출</x:v>
      </x:c>
      <x:c r="H4" s="32" t="n">
        <x:f>COUNTA('문항원장'!A7:A29)</x:f>
        <x:v>23</x:v>
      </x:c>
      <x:c r="I4" s="2"/>
    </x:row>
    <x:row r="5" ht="6.75" customHeight="1">
      <x:c r="A5" s="2"/>
      <x:c r="B5" s="2"/>
      <x:c r="C5" s="2"/>
      <x:c r="D5" s="2"/>
      <x:c r="E5" s="2"/>
      <x:c r="F5" s="2"/>
      <x:c r="G5" s="2"/>
      <x:c r="H5" s="2"/>
      <x:c r="I5" s="2"/>
    </x:row>
    <x:row r="6" ht="28.5" customHeight="1">
      <x:c r="A6" s="20" t="str">
        <x:v>씬</x:v>
      </x:c>
      <x:c r="B6" s="21" t="str">
        <x:v>장면 제목</x:v>
      </x:c>
      <x:c r="C6" s="21" t="str">
        <x:v>학습 ID</x:v>
      </x:c>
      <x:c r="D6" s="21" t="str">
        <x:v>공통 대사에서 배우는 내용</x:v>
      </x:c>
      <x:c r="E6" s="21" t="str">
        <x:v>기억할 장면</x:v>
      </x:c>
      <x:c r="F6" s="21" t="str">
        <x:v>대사 선택지 수</x:v>
      </x:c>
      <x:c r="G6" s="21" t="str">
        <x:v>연결 기출</x:v>
      </x:c>
      <x:c r="H6" s="21" t="str">
        <x:v>여기서 출제</x:v>
      </x:c>
      <x:c r="I6" s="22" t="str">
        <x:v>다음 씬</x:v>
      </x:c>
    </x:row>
    <x:row r="7" ht="39" customHeight="1">
      <x:c r="A7" s="10" t="str">
        <x:v>CH00 S01</x:v>
      </x:c>
      <x:c r="B7" s="10" t="str">
        <x:v>눈을 뜨다</x:v>
      </x:c>
      <x:c r="C7" s="10" t="str">
        <x:v>서사 장면</x:v>
      </x:c>
      <x:c r="D7" s="10" t="str">
        <x:v>이 씬은 인물의 감정과 다음 행동을 잇는다.</x:v>
      </x:c>
      <x:c r="E7" s="10" t="str">
        <x:v>빈 주머니와 차가운 바람. 출발점은 역사 용어가 아니라 돌아갈 곳을 잃은 감각이다.</x:v>
      </x:c>
      <x:c r="F7" s="27" t="n">
        <x:v>0</x:v>
      </x:c>
      <x:c r="G7" s="10" t="str">
        <x:v>—</x:v>
      </x:c>
      <x:c r="H7" s="10" t="str">
        <x:v>없음</x:v>
      </x:c>
      <x:c r="I7" s="10" t="str">
        <x:v>CH00 S02</x:v>
      </x:c>
    </x:row>
    <x:row r="8" ht="39" customHeight="1">
      <x:c r="A8" s="11" t="str">
        <x:v>CH00 S02</x:v>
      </x:c>
      <x:c r="B8" s="11" t="str">
        <x:v>낯선 남자</x:v>
      </x:c>
      <x:c r="C8" s="11" t="str">
        <x:v>서사 장면</x:v>
      </x:c>
      <x:c r="D8" s="11" t="str">
        <x:v>이 씬은 인물의 감정과 다음 행동을 잇는다.</x:v>
      </x:c>
      <x:c r="E8" s="11" t="str">
        <x:v>서로의 말투와 옷차림을 이상하게 여기는 첫 대화.</x:v>
      </x:c>
      <x:c r="F8" s="28" t="n">
        <x:v>3</x:v>
      </x:c>
      <x:c r="G8" s="11" t="str">
        <x:v>—</x:v>
      </x:c>
      <x:c r="H8" s="11" t="str">
        <x:v>없음</x:v>
      </x:c>
      <x:c r="I8" s="11" t="str">
        <x:v>CH00 S03</x:v>
      </x:c>
    </x:row>
    <x:row r="9" ht="39" customHeight="1">
      <x:c r="A9" s="10" t="str">
        <x:v>CH00 S03</x:v>
      </x:c>
      <x:c r="B9" s="10" t="str">
        <x:v>모닥불 앞에서</x:v>
      </x:c>
      <x:c r="C9" s="10" t="str">
        <x:v>서사 장면</x:v>
      </x:c>
      <x:c r="D9" s="10" t="str">
        <x:v>이 씬은 인물의 감정과 다음 행동을 잇는다.</x:v>
      </x:c>
      <x:c r="E9" s="10" t="str">
        <x:v>“나라고 불러”라는 이름 농담 뒤에 처음 들리는 구체적인 이름 라온.</x:v>
      </x:c>
      <x:c r="F9" s="27" t="n">
        <x:v>0</x:v>
      </x:c>
      <x:c r="G9" s="10" t="str">
        <x:v>—</x:v>
      </x:c>
      <x:c r="H9" s="10" t="str">
        <x:v>없음</x:v>
      </x:c>
      <x:c r="I9" s="10" t="str">
        <x:v>CH00 S04</x:v>
      </x:c>
    </x:row>
    <x:row r="10" ht="39" customHeight="1">
      <x:c r="A10" s="11" t="str">
        <x:v>CH00 S04</x:v>
      </x:c>
      <x:c r="B10" s="11" t="str">
        <x:v>동행 제안</x:v>
      </x:c>
      <x:c r="C10" s="11" t="str">
        <x:v>서사 장면</x:v>
      </x:c>
      <x:c r="D10" s="11" t="str">
        <x:v>이 씬은 인물의 감정과 다음 행동을 잇는다.</x:v>
      </x:c>
      <x:c r="E10" s="11" t="str">
        <x:v>동행을 제안하는 손과 동행의 범위를 정하는 말.</x:v>
      </x:c>
      <x:c r="F10" s="28" t="n">
        <x:v>3</x:v>
      </x:c>
      <x:c r="G10" s="11" t="str">
        <x:v>—</x:v>
      </x:c>
      <x:c r="H10" s="11" t="str">
        <x:v>없음</x:v>
      </x:c>
      <x:c r="I10" s="11" t="str">
        <x:v>CH00 S05</x:v>
      </x:c>
    </x:row>
    <x:row r="11" ht="39" customHeight="1">
      <x:c r="A11" s="10" t="str">
        <x:v>CH00 S05</x:v>
      </x:c>
      <x:c r="B11" s="10" t="str">
        <x:v>첫날의 끝</x:v>
      </x:c>
      <x:c r="C11" s="10" t="str">
        <x:v>서사 장면</x:v>
      </x:c>
      <x:c r="D11" s="10" t="str">
        <x:v>이 씬은 인물의 감정과 다음 행동을 잇는다.</x:v>
      </x:c>
      <x:c r="E11" s="10" t="str">
        <x:v>“오늘 밤은 살아남았으니.” 불이 작아져도 남는 위로.</x:v>
      </x:c>
      <x:c r="F11" s="27" t="n">
        <x:v>0</x:v>
      </x:c>
      <x:c r="G11" s="10" t="str">
        <x:v>—</x:v>
      </x:c>
      <x:c r="H11" s="10" t="str">
        <x:v>없음</x:v>
      </x:c>
      <x:c r="I11" s="10" t="str">
        <x:v>CH01 S01</x:v>
      </x:c>
    </x:row>
    <x:row r="12" ht="39" customHeight="1">
      <x:c r="A12" s="11" t="str">
        <x:v>CH01 S01</x:v>
      </x:c>
      <x:c r="B12" s="11" t="str">
        <x:v>부서진 수레</x:v>
      </x:c>
      <x:c r="C12" s="11" t="str">
        <x:v>서사 장면</x:v>
      </x:c>
      <x:c r="D12" s="11" t="str">
        <x:v>이 씬은 인물의 감정과 다음 행동을 잇는다.</x:v>
      </x:c>
      <x:c r="E12" s="11" t="str">
        <x:v>남은 상자와 부러진 바퀴를 한 번 더 보는 행동. 추측보다 관찰을 먼저 둔다.</x:v>
      </x:c>
      <x:c r="F12" s="28" t="n">
        <x:v>3</x:v>
      </x:c>
      <x:c r="G12" s="11" t="str">
        <x:v>—</x:v>
      </x:c>
      <x:c r="H12" s="11" t="str">
        <x:v>없음</x:v>
      </x:c>
      <x:c r="I12" s="11" t="str">
        <x:v>CH01 S02</x:v>
      </x:c>
    </x:row>
    <x:row r="13" ht="39" customHeight="1">
      <x:c r="A13" s="10" t="str">
        <x:v>CH01 S02</x:v>
      </x:c>
      <x:c r="B13" s="10" t="str">
        <x:v>남겨진 물건</x:v>
      </x:c>
      <x:c r="C13" s="10" t="str">
        <x:v>서사 장면</x:v>
      </x:c>
      <x:c r="D13" s="10" t="str">
        <x:v>이 씬은 인물의 감정과 다음 행동을 잇는다.</x:v>
      </x:c>
      <x:c r="E13" s="10" t="str">
        <x:v>종이를 읽다 멈춘 손과 닫힌 옷깃. 눈앞의 편지가 아직 말이 되지 못한다.</x:v>
      </x:c>
      <x:c r="F13" s="27" t="n">
        <x:v>3</x:v>
      </x:c>
      <x:c r="G13" s="10" t="str">
        <x:v>—</x:v>
      </x:c>
      <x:c r="H13" s="10" t="str">
        <x:v>없음</x:v>
      </x:c>
      <x:c r="I13" s="10" t="str">
        <x:v>CH01 S03</x:v>
      </x:c>
    </x:row>
    <x:row r="14" ht="39" customHeight="1">
      <x:c r="A14" s="11" t="str">
        <x:v>CH01 S03</x:v>
      </x:c>
      <x:c r="B14" s="11" t="str">
        <x:v>동생의 매듭</x:v>
      </x:c>
      <x:c r="C14" s="11" t="str">
        <x:v>서사 장면</x:v>
      </x:c>
      <x:c r="D14" s="11" t="str">
        <x:v>이 씬은 인물의 감정과 다음 행동을 잇는다.</x:v>
      </x:c>
      <x:c r="E14" s="11" t="str">
        <x:v>꼭 쥐면 매듭을 보여 줄 수 없고 손을 펴야 다른 사람이 알아본다.</x:v>
      </x:c>
      <x:c r="F14" s="28" t="n">
        <x:v>3</x:v>
      </x:c>
      <x:c r="G14" s="11" t="str">
        <x:v>—</x:v>
      </x:c>
      <x:c r="H14" s="11" t="str">
        <x:v>없음</x:v>
      </x:c>
      <x:c r="I14" s="11" t="str">
        <x:v>CH01 S04</x:v>
      </x:c>
    </x:row>
    <x:row r="15" ht="39" customHeight="1">
      <x:c r="A15" s="10" t="str">
        <x:v>CH01 S04</x:v>
      </x:c>
      <x:c r="B15" s="10" t="str">
        <x:v>갈라진 길</x:v>
      </x:c>
      <x:c r="C15" s="10" t="str">
        <x:v>서사 장면</x:v>
      </x:c>
      <x:c r="D15" s="10" t="str">
        <x:v>이 씬은 인물의 감정과 다음 행동을 잇는다.</x:v>
      </x:c>
      <x:c r="E15" s="10" t="str">
        <x:v>먼저 나간 단의 발이 주인공 옆으로 돌아오는 짧은 행동.</x:v>
      </x:c>
      <x:c r="F15" s="27" t="n">
        <x:v>3</x:v>
      </x:c>
      <x:c r="G15" s="10" t="str">
        <x:v>—</x:v>
      </x:c>
      <x:c r="H15" s="10" t="str">
        <x:v>없음</x:v>
      </x:c>
      <x:c r="I15" s="10" t="str">
        <x:v>CH01 S05</x:v>
      </x:c>
    </x:row>
    <x:row r="16" ht="39" customHeight="1">
      <x:c r="A16" s="11" t="str">
        <x:v>CH01 S05</x:v>
      </x:c>
      <x:c r="B16" s="11" t="str">
        <x:v>북쪽에서 온 상인</x:v>
      </x:c>
      <x:c r="C16" s="11" t="str">
        <x:v>서사 장면</x:v>
      </x:c>
      <x:c r="D16" s="11" t="str">
        <x:v>이 씬은 인물의 감정과 다음 행동을 잇는다.</x:v>
      </x:c>
      <x:c r="E16" s="11" t="str">
        <x:v>상인의 풀린 짐끈을 다시 묶는 시간만큼 말을 기다린다.</x:v>
      </x:c>
      <x:c r="F16" s="28" t="n">
        <x:v>3</x:v>
      </x:c>
      <x:c r="G16" s="11" t="str">
        <x:v>—</x:v>
      </x:c>
      <x:c r="H16" s="11" t="str">
        <x:v>없음</x:v>
      </x:c>
      <x:c r="I16" s="11" t="str">
        <x:v>CH01 S06</x:v>
      </x:c>
    </x:row>
    <x:row r="17" ht="67.5" customHeight="1">
      <x:c r="A17" s="10" t="str">
        <x:v>CH01 S06</x:v>
      </x:c>
      <x:c r="B17" s="10" t="str">
        <x:v>여러 나라의 지도</x:v>
      </x:c>
      <x:c r="C17" s="10" t="str">
        <x:v>GE-01</x:v>
      </x:c>
      <x:c r="D17" s="10" t="str">
        <x:v>부여는 송화강 유역의 평야, 고구려는 압록강 중류 산지, 옥저·동예는 동해안, 삼한은 한반도 남부로 위치를 구분한다. 이 이야기의 이동 순서는 라온의 흔적을 따르는 창작 동선이며 건국 순서가 아니다.</x:v>
      </x:c>
      <x:c r="E17" s="10" t="str">
        <x:v>단과 주인공이 한 지도에 나란히 손을 올려 평야→산→바다→남쪽을 짚는다.</x:v>
      </x:c>
      <x:c r="F17" s="27" t="n">
        <x:v>0</x:v>
      </x:c>
      <x:c r="G17" s="10" t="str">
        <x:v>60회 심화 2번
62회 심화 2번
61회 기본 3번
77회 기본 2번</x:v>
      </x:c>
      <x:c r="H17" s="10" t="str">
        <x:v>없음</x:v>
      </x:c>
      <x:c r="I17" s="10" t="str">
        <x:v>CH01 S07</x:v>
      </x:c>
    </x:row>
    <x:row r="18" ht="39" customHeight="1">
      <x:c r="A18" s="11" t="str">
        <x:v>CH01 S07</x:v>
      </x:c>
      <x:c r="B18" s="11" t="str">
        <x:v>비어 있는 야영지</x:v>
      </x:c>
      <x:c r="C18" s="11" t="str">
        <x:v>서사 장면</x:v>
      </x:c>
      <x:c r="D18" s="11" t="str">
        <x:v>이 씬은 인물의 감정과 다음 행동을 잇는다.</x:v>
      </x:c>
      <x:c r="E18" s="11" t="str">
        <x:v>이전 모닥불은 주인공을 살렸고, 이번의 꺼진 불가는 단을 멈춰 쉬게 한다.</x:v>
      </x:c>
      <x:c r="F18" s="28" t="n">
        <x:v>3</x:v>
      </x:c>
      <x:c r="G18" s="11" t="str">
        <x:v>—</x:v>
      </x:c>
      <x:c r="H18" s="11" t="str">
        <x:v>없음</x:v>
      </x:c>
      <x:c r="I18" s="11" t="str">
        <x:v>CH01 S08</x:v>
      </x:c>
    </x:row>
    <x:row r="19" ht="39" customHeight="1">
      <x:c r="A19" s="10" t="str">
        <x:v>CH01 S08</x:v>
      </x:c>
      <x:c r="B19" s="10" t="str">
        <x:v>철에 관심을 가진 아이</x:v>
      </x:c>
      <x:c r="C19" s="10" t="str">
        <x:v>서사 장면</x:v>
      </x:c>
      <x:c r="D19" s="10" t="str">
        <x:v>이 씬은 인물의 감정과 다음 행동을 잇는다.</x:v>
      </x:c>
      <x:c r="E19" s="10" t="str">
        <x:v>잘하는 것은 기억하지만 하고 싶은 말은 제대로 듣지 않았다는 작은 균열.</x:v>
      </x:c>
      <x:c r="F19" s="27" t="n">
        <x:v>3</x:v>
      </x:c>
      <x:c r="G19" s="10" t="str">
        <x:v>—</x:v>
      </x:c>
      <x:c r="H19" s="10" t="str">
        <x:v>없음</x:v>
      </x:c>
      <x:c r="I19" s="10" t="str">
        <x:v>CH01 S09</x:v>
      </x:c>
    </x:row>
    <x:row r="20" ht="39" customHeight="1">
      <x:c r="A20" s="11" t="str">
        <x:v>CH01 S09</x:v>
      </x:c>
      <x:c r="B20" s="11" t="str">
        <x:v>교역의 의미</x:v>
      </x:c>
      <x:c r="C20" s="11" t="str">
        <x:v>GE-02</x:v>
      </x:c>
      <x:c r="D20" s="11" t="str">
        <x:v>철·소금처럼 지역마다 생산물과 필요한 물품이 달라 교역이 이루어졌다. 교역로는 사람과 소식이 함께 이동하는 통로다.</x:v>
      </x:c>
      <x:c r="E20" s="11" t="str">
        <x:v>수레에 실린 것은 물건이고, 다음 마을에 먼저 닿는 것은 누군가의 소식이라는 연결.</x:v>
      </x:c>
      <x:c r="F20" s="28" t="n">
        <x:v>0</x:v>
      </x:c>
      <x:c r="G20" s="11" t="str">
        <x:v>—</x:v>
      </x:c>
      <x:c r="H20" s="11" t="str">
        <x:v>없음</x:v>
      </x:c>
      <x:c r="I20" s="11" t="str">
        <x:v>CH01 S10</x:v>
      </x:c>
    </x:row>
    <x:row r="21" ht="39" customHeight="1">
      <x:c r="A21" s="10" t="str">
        <x:v>CH01 S10</x:v>
      </x:c>
      <x:c r="B21" s="10" t="str">
        <x:v>북쪽으로</x:v>
      </x:c>
      <x:c r="C21" s="10" t="str">
        <x:v>서사 장면</x:v>
      </x:c>
      <x:c r="D21" s="10" t="str">
        <x:v>이 씬은 인물의 감정과 다음 행동을 잇는다.</x:v>
      </x:c>
      <x:c r="E21" s="10" t="str">
        <x:v>한쪽에는 사람들에게 보여 줄 매듭, 다른 쪽에는 아직 숨기는 편지.</x:v>
      </x:c>
      <x:c r="F21" s="27" t="n">
        <x:v>0</x:v>
      </x:c>
      <x:c r="G21" s="10" t="str">
        <x:v>—</x:v>
      </x:c>
      <x:c r="H21" s="10" t="str">
        <x:v>없음</x:v>
      </x:c>
      <x:c r="I21" s="10" t="str">
        <x:v>CH02 S01</x:v>
      </x:c>
    </x:row>
    <x:row r="22" ht="53.25" customHeight="1">
      <x:c r="A22" s="11" t="str">
        <x:v>CH02 S01</x:v>
      </x:c>
      <x:c r="B22" s="11" t="str">
        <x:v>부여에 도착하다</x:v>
      </x:c>
      <x:c r="C22" s="11" t="str">
        <x:v>서사 장면</x:v>
      </x:c>
      <x:c r="D22" s="11" t="str">
        <x:v>이 씬은 인물의 감정과 다음 행동을 잇는다.</x:v>
      </x:c>
      <x:c r="E22" s="11" t="str">
        <x:v>지도에서 손가락으로 짚었던 평야가 눈앞에 펼쳐지고, 급한 질문 사이에 바구니를 함께 받친다.</x:v>
      </x:c>
      <x:c r="F22" s="28" t="n">
        <x:v>3</x:v>
      </x:c>
      <x:c r="G22" s="11" t="str">
        <x:v>—</x:v>
      </x:c>
      <x:c r="H22" s="11" t="str">
        <x:v>없음</x:v>
      </x:c>
      <x:c r="I22" s="11" t="str">
        <x:v>CH02 S02</x:v>
      </x:c>
    </x:row>
    <x:row r="23" ht="124.5" customHeight="1">
      <x:c r="A23" s="10" t="str">
        <x:v>CH02 S02</x:v>
      </x:c>
      <x:c r="B23" s="10" t="str">
        <x:v>왕과 유력자</x:v>
      </x:c>
      <x:c r="C23" s="10" t="str">
        <x:v>BU-01
BU-02</x:v>
      </x:c>
      <x:c r="D23" s="10" t="str">
        <x:v>부여는 왕의 중심 세력과 여러 가의 세력이 결합한 5부족 연맹이라는 학습 틀로 정리한다. 왕이 존재하며 여러 유력 집단도 독자적 기반을 지녔다.
마가·우가·저가·구가는 가축 이름을 딴 지배층의 칭호다. 여러 가가 사출도를 다스리는 지역 지배 구조였으며 실제 네 도로의 모양이나 정확한 방위를 확정하는 말이 아니다.</x:v>
      </x:c>
      <x:c r="E23" s="10" t="str">
        <x:v>왕 한 사람에게 묻겠다는 계획이 여러 지역의 목소리를 모으는 계획으로 바뀐다.</x:v>
      </x:c>
      <x:c r="F23" s="27" t="n">
        <x:v>3</x:v>
      </x:c>
      <x:c r="G23" s="10" t="str">
        <x:v>70회 심화 2번
60회 심화 2번
62회 심화 2번
64회 심화 2번
66회 기본 2번
61회 기본 3번
68회 심화 3번
73회 기본 2번</x:v>
      </x:c>
      <x:c r="H23" s="10" t="str">
        <x:v>없음</x:v>
      </x:c>
      <x:c r="I23" s="10" t="str">
        <x:v>CH02 S03</x:v>
      </x:c>
    </x:row>
    <x:row r="24" ht="96" customHeight="1">
      <x:c r="A24" s="11" t="str">
        <x:v>CH02 S03</x:v>
      </x:c>
      <x:c r="B24" s="11" t="str">
        <x:v>사출도의 길</x:v>
      </x:c>
      <x:c r="C24" s="11" t="str">
        <x:v>BU-02</x:v>
      </x:c>
      <x:c r="D24" s="11" t="str">
        <x:v>사출도는 여러 가의 지역 지배를 이해하는 개념이며 장면 속 네 갈래 길의 실제 형상이나 각 가의 방위와 일치한다고 단정하지 않는다.</x:v>
      </x:c>
      <x:c r="E24" s="11" t="str">
        <x:v>CH01 갈림길에서 먼저 나갔던 단의 발이 이번에는 스스로 멈춘다.</x:v>
      </x:c>
      <x:c r="F24" s="28" t="n">
        <x:v>3</x:v>
      </x:c>
      <x:c r="G24" s="11" t="str">
        <x:v>60회 심화 2번
62회 심화 2번
66회 기본 2번
61회 기본 3번
68회 심화 3번
73회 기본 2번</x:v>
      </x:c>
      <x:c r="H24" s="33" t="str">
        <x:v>60회 심화 2번
62회 심화 2번</x:v>
      </x:c>
      <x:c r="I24" s="11" t="str">
        <x:v>CH02 S04</x:v>
      </x:c>
    </x:row>
    <x:row r="25" ht="124.5" customHeight="1">
      <x:c r="A25" s="10" t="str">
        <x:v>CH02 S04</x:v>
      </x:c>
      <x:c r="B25" s="10" t="str">
        <x:v>영고를 준비하는 사람들</x:v>
      </x:c>
      <x:c r="C25" s="10" t="str">
        <x:v>BU-03</x:v>
      </x:c>
      <x:c r="D25" s="10" t="str">
        <x:v>부여의 제천 행사 영고는 겨울 12월로 학습한다. 하늘에 제사를 지내고 함께 노래하고 춤추는 공동체 행사였다. 사료의 은력 정월을 현대 양력 1월과 같은 뜻으로 읽지 않는다.</x:v>
      </x:c>
      <x:c r="E25" s="10" t="str">
        <x:v>차가운 손으로 함께 옮긴 짐과 밤에 다시 앉을 자리가 부여 영고 12월의 장면 기억이 된다.</x:v>
      </x:c>
      <x:c r="F25" s="27" t="n">
        <x:v>3</x:v>
      </x:c>
      <x:c r="G25" s="10" t="str">
        <x:v>64회 심화 2번
66회 기본 2번
61회 기본 3번
68회 심화 3번
73회 기본 2번
78회 심화 3번
67회 심화 2번
79회 심화 2번</x:v>
      </x:c>
      <x:c r="H25" s="10" t="str">
        <x:v>없음</x:v>
      </x:c>
      <x:c r="I25" s="10" t="str">
        <x:v>CH02 S05</x:v>
      </x:c>
    </x:row>
    <x:row r="26" ht="53.25" customHeight="1">
      <x:c r="A26" s="11" t="str">
        <x:v>CH02 S05</x:v>
      </x:c>
      <x:c r="B26" s="11" t="str">
        <x:v>제천 행사의 의미</x:v>
      </x:c>
      <x:c r="C26" s="11" t="str">
        <x:v>BU-04</x:v>
      </x:c>
      <x:c r="D26" s="11" t="str">
        <x:v>부여에서는 절도에 대해 훔친 물건의 12배를 배상하게 했다는 기록이 있으며 이를 1책12법으로 정리한다. 떨어진 손잡이를 돌려주는 장면은 학습을 연결하기 위한 창작이다.</x:v>
      </x:c>
      <x:c r="E26" s="11" t="str">
        <x:v>손잡이 하나가 사라졌다고 누군가의 죄를 먼저 만들지 않는다. 손잡이는 라온의 손재주에 대한 새 목격담으로도 이어진다.</x:v>
      </x:c>
      <x:c r="F26" s="28" t="n">
        <x:v>0</x:v>
      </x:c>
      <x:c r="G26" s="11" t="str">
        <x:v>—</x:v>
      </x:c>
      <x:c r="H26" s="11" t="str">
        <x:v>없음</x:v>
      </x:c>
      <x:c r="I26" s="11" t="str">
        <x:v>CH02 S06</x:v>
      </x:c>
    </x:row>
    <x:row r="27" ht="153" customHeight="1">
      <x:c r="A27" s="10" t="str">
        <x:v>CH02 S06</x:v>
      </x:c>
      <x:c r="B27" s="10" t="str">
        <x:v>풍습을 묻다</x:v>
      </x:c>
      <x:c r="C27" s="10" t="str">
        <x:v>BU-05
BU-06
BU-07</x:v>
      </x:c>
      <x:c r="D27" s="10" t="str">
        <x:v>부여에는 왕·지배층의 장례에 다른 사람을 함께 묻는 순장 풍습이 기록되어 있다. 생명을 빼앗는 지배 관계를 보여 주는 역사 사실로 설명하며 미화하거나 현재 인물에게 재현시키지 않는다.
형사취수제는 형이 죽으면 동생이 형수와 혼인하는 풍습이다. 부여의 취수혼 기록을 바탕으로 당시 친족·혼인 관계를 살핀다.
우제점법은 소를 잡아 그 굽의 갈라짐으로 길흉을 점치던 풍습이다. 기록된 점복 관습의 존재를 설명하며 예언이 실제 성립하는 장치로 사용하지 않는다.</x:v>
      </x:c>
      <x:c r="E27" s="10" t="str">
        <x:v>지배자의 힘과 풍습을 들은 뒤 손에 남은 매듭 자국을 본다. 쥐고 있던 손을 펴는 행동으로 기억을 남긴다.</x:v>
      </x:c>
      <x:c r="F27" s="27" t="n">
        <x:v>3</x:v>
      </x:c>
      <x:c r="G27" s="10" t="str">
        <x:v>79회 심화 2번
64회 심화 2번
66회 기본 2번</x:v>
      </x:c>
      <x:c r="H27" s="34" t="str">
        <x:v>64회 심화 2번
66회 기본 2번</x:v>
      </x:c>
      <x:c r="I27" s="10" t="str">
        <x:v>CH02 S07</x:v>
      </x:c>
    </x:row>
    <x:row r="28" ht="53.25" customHeight="1">
      <x:c r="A28" s="11" t="str">
        <x:v>CH02 S07</x:v>
      </x:c>
      <x:c r="B28" s="11" t="str">
        <x:v>익숙한 매듭</x:v>
      </x:c>
      <x:c r="C28" s="11" t="str">
        <x:v>서사 장면</x:v>
      </x:c>
      <x:c r="D28" s="11" t="str">
        <x:v>이 씬은 인물의 감정과 다음 행동을 잇는다.</x:v>
      </x:c>
      <x:c r="E28" s="11" t="str">
        <x:v>단이 짧게 잘라버린 매듭 끝을 아린도 기억한다. 손을 펴야 다른 사람의 기억을 얻을 수 있다.</x:v>
      </x:c>
      <x:c r="F28" s="28" t="n">
        <x:v>3</x:v>
      </x:c>
      <x:c r="G28" s="11" t="str">
        <x:v>—</x:v>
      </x:c>
      <x:c r="H28" s="11" t="str">
        <x:v>없음</x:v>
      </x:c>
      <x:c r="I28" s="11" t="str">
        <x:v>CH02 S08</x:v>
      </x:c>
    </x:row>
    <x:row r="29" ht="53.25" customHeight="1">
      <x:c r="A29" s="10" t="str">
        <x:v>CH02 S08</x:v>
      </x:c>
      <x:c r="B29" s="10" t="str">
        <x:v>사라진 손님</x:v>
      </x:c>
      <x:c r="C29" s="10" t="str">
        <x:v>서사 장면</x:v>
      </x:c>
      <x:c r="D29" s="10" t="str">
        <x:v>이 씬은 인물의 감정과 다음 행동을 잇는다.</x:v>
      </x:c>
      <x:c r="E29" s="10" t="str">
        <x:v>부서진 수레만 보던 두 사람에게 처음으로 자기 짐을 챙겨 떠나는 라온의 구체적 모습이 생긴다.</x:v>
      </x:c>
      <x:c r="F29" s="27" t="n">
        <x:v>0</x:v>
      </x:c>
      <x:c r="G29" s="10" t="str">
        <x:v>—</x:v>
      </x:c>
      <x:c r="H29" s="10" t="str">
        <x:v>없음</x:v>
      </x:c>
      <x:c r="I29" s="10" t="str">
        <x:v>CH02 S09</x:v>
      </x:c>
    </x:row>
    <x:row r="30" ht="53.25" customHeight="1">
      <x:c r="A30" s="11" t="str">
        <x:v>CH02 S09</x:v>
      </x:c>
      <x:c r="B30" s="11" t="str">
        <x:v>말하지 말라는 부탁</x:v>
      </x:c>
      <x:c r="C30" s="11" t="str">
        <x:v>서사 장면</x:v>
      </x:c>
      <x:c r="D30" s="11" t="str">
        <x:v>이 씬은 인물의 감정과 다음 행동을 잇는다.</x:v>
      </x:c>
      <x:c r="E30" s="11" t="str">
        <x:v>매듭은 사람 앞에 놓였지만 편지는 아직 품 안에 남는다. 밖의 노래와 안의 침묵이 부딪힌다.</x:v>
      </x:c>
      <x:c r="F30" s="28" t="n">
        <x:v>3</x:v>
      </x:c>
      <x:c r="G30" s="11" t="str">
        <x:v>—</x:v>
      </x:c>
      <x:c r="H30" s="11" t="str">
        <x:v>없음</x:v>
      </x:c>
      <x:c r="I30" s="11" t="str">
        <x:v>CH02 S10</x:v>
      </x:c>
    </x:row>
    <x:row r="31" ht="53.25" customHeight="1">
      <x:c r="A31" s="10" t="str">
        <x:v>CH02 S10</x:v>
      </x:c>
      <x:c r="B31" s="10" t="str">
        <x:v>영고의 밤</x:v>
      </x:c>
      <x:c r="C31" s="10" t="str">
        <x:v>BU-03</x:v>
      </x:c>
      <x:c r="D31" s="10" t="str">
        <x:v>부여 영고는 겨울 12월의 제천 행사다. 함께 모여 노래하고 춤추는 장면으로 앞서 배운 이름·시기·기능을 회수한다.</x:v>
      </x:c>
      <x:c r="E31" s="10" t="str">
        <x:v>낮에 함께 만든 자리에 밤에 함께 앉는다. 단은 많은 목소리 중 동생의 목소리를 찾지만 옆 사람의 말부터 듣는다.</x:v>
      </x:c>
      <x:c r="F31" s="27" t="n">
        <x:v>0</x:v>
      </x:c>
      <x:c r="G31" s="10" t="str">
        <x:v>—</x:v>
      </x:c>
      <x:c r="H31" s="10" t="str">
        <x:v>없음</x:v>
      </x:c>
      <x:c r="I31" s="10" t="str">
        <x:v>CH02 S11</x:v>
      </x:c>
    </x:row>
    <x:row r="32" ht="210" customHeight="1">
      <x:c r="A32" s="11" t="str">
        <x:v>CH02 S11</x:v>
      </x:c>
      <x:c r="B32" s="11" t="str">
        <x:v>부여에서 배운 것</x:v>
      </x:c>
      <x:c r="C32" s="11" t="str">
        <x:v>BU-01
BU-02
BU-03
BU-04
BU-05
BU-06
BU-07</x:v>
      </x:c>
      <x:c r="D32" s="11" t="str">
        <x:v>왕과 여러 가의 연맹 구조를 S02 공통 학습에 이어 회수한다.
마가·우가·저가·구가, 사출도를 지역 지배와 연결해 회수한다.
부여 영고 12월을 광장과 겨울 장면으로 회수한다.
1책12법을 절도에 대한 12배 배상으로 회수한다.
순장의 존재를 풍습의 이름과 사람의 삶을 함께 기억하는 방식으로 회수한다.
형사취수제는 앞선 공통 정의를 회수한다.
우제점법은 앞선 공통 정의를 회수한다.</x:v>
      </x:c>
      <x:c r="E32" s="11" t="str">
        <x:v>추상적인 낱말이 여러 지역의 목격자·밤의 자리·돌려준 손잡이·펼친 손의 네 장면으로 되돌아온다.</x:v>
      </x:c>
      <x:c r="F32" s="28" t="n">
        <x:v>0</x:v>
      </x:c>
      <x:c r="G32" s="11" t="str">
        <x:v>61회 기본 3번
68회 심화 3번
73회 기본 2번</x:v>
      </x:c>
      <x:c r="H32" s="33" t="str">
        <x:v>61회 기본 3번
68회 심화 3번
73회 기본 2번</x:v>
      </x:c>
      <x:c r="I32" s="11" t="str">
        <x:v>CH02 S12</x:v>
      </x:c>
    </x:row>
    <x:row r="33" ht="39" customHeight="1">
      <x:c r="A33" s="10" t="str">
        <x:v>CH02 S12</x:v>
      </x:c>
      <x:c r="B33" s="10" t="str">
        <x:v>남겨진 그림</x:v>
      </x:c>
      <x:c r="C33" s="10" t="str">
        <x:v>서사 장면</x:v>
      </x:c>
      <x:c r="D33" s="10" t="str">
        <x:v>이 씬은 인물의 감정과 다음 행동을 잇는다.</x:v>
      </x:c>
      <x:c r="E33" s="10" t="str">
        <x:v>공개한 매듭, 새로 받은 철 그림, 아직 숨긴 편지가 같은 품 안에 놓인다.</x:v>
      </x:c>
      <x:c r="F33" s="27" t="n">
        <x:v>0</x:v>
      </x:c>
      <x:c r="G33" s="10" t="str">
        <x:v>—</x:v>
      </x:c>
      <x:c r="H33" s="10" t="str">
        <x:v>없음</x:v>
      </x:c>
      <x:c r="I33" s="10" t="str">
        <x:v>CH03 S01</x:v>
      </x:c>
    </x:row>
    <x:row r="34" ht="39" customHeight="1">
      <x:c r="A34" s="11" t="str">
        <x:v>CH03 S01</x:v>
      </x:c>
      <x:c r="B34" s="11" t="str">
        <x:v>고구려로 가는 길</x:v>
      </x:c>
      <x:c r="C34" s="11" t="str">
        <x:v>GO-06</x:v>
      </x:c>
      <x:c r="D34" s="11" t="str">
        <x:v>고구려는 압록강 중류의 산과 계곡이 많은 지역에서 성장했다. 여행 동선은 창작이며 나라의 건국 순서를 뜻하지 않는다.</x:v>
      </x:c>
      <x:c r="E34" s="11" t="str">
        <x:v>길 그림을 접었다 펼 때마다 나타나는 산의 굽이와 철 그림.</x:v>
      </x:c>
      <x:c r="F34" s="28" t="n">
        <x:v>3</x:v>
      </x:c>
      <x:c r="G34" s="11" t="str">
        <x:v>—</x:v>
      </x:c>
      <x:c r="H34" s="11" t="str">
        <x:v>없음</x:v>
      </x:c>
      <x:c r="I34" s="11" t="str">
        <x:v>CH03 S02</x:v>
      </x:c>
    </x:row>
    <x:row r="35" ht="39" customHeight="1">
      <x:c r="A35" s="10" t="str">
        <x:v>CH03 S02</x:v>
      </x:c>
      <x:c r="B35" s="10" t="str">
        <x:v>산성에 도착하다</x:v>
      </x:c>
      <x:c r="C35" s="10" t="str">
        <x:v>서사 장면</x:v>
      </x:c>
      <x:c r="D35" s="10" t="str">
        <x:v>이 씬은 인물의 감정과 다음 행동을 잇는다.</x:v>
      </x:c>
      <x:c r="E35" s="10" t="str">
        <x:v>성벽을 바라보며 무심코 나온 단의 “아이”라는 말.</x:v>
      </x:c>
      <x:c r="F35" s="27" t="n">
        <x:v>0</x:v>
      </x:c>
      <x:c r="G35" s="10" t="str">
        <x:v>—</x:v>
      </x:c>
      <x:c r="H35" s="10" t="str">
        <x:v>없음</x:v>
      </x:c>
      <x:c r="I35" s="10" t="str">
        <x:v>CH03 S03</x:v>
      </x:c>
    </x:row>
    <x:row r="36" ht="39" customHeight="1">
      <x:c r="A36" s="11" t="str">
        <x:v>CH03 S03</x:v>
      </x:c>
      <x:c r="B36" s="11" t="str">
        <x:v>불가의 이야기꾼</x:v>
      </x:c>
      <x:c r="C36" s="11" t="str">
        <x:v>GO-05</x:v>
      </x:c>
      <x:c r="D36" s="11" t="str">
        <x:v>주몽 건국 이야기는 후대 기록에도 이어진 전승이며, 여행의 현재에서 직접 목격하는 사건으로 취급하지 않는다.</x:v>
      </x:c>
      <x:c r="E36" s="11" t="str">
        <x:v>불씨 너머의 삽화와 불가에 남아 있는 두 여행자.</x:v>
      </x:c>
      <x:c r="F36" s="28" t="n">
        <x:v>3</x:v>
      </x:c>
      <x:c r="G36" s="11" t="str">
        <x:v>—</x:v>
      </x:c>
      <x:c r="H36" s="11" t="str">
        <x:v>없음</x:v>
      </x:c>
      <x:c r="I36" s="11" t="str">
        <x:v>CH03 S04</x:v>
      </x:c>
    </x:row>
    <x:row r="37" ht="53.25" customHeight="1">
      <x:c r="A37" s="10" t="str">
        <x:v>CH03 S04</x:v>
      </x:c>
      <x:c r="B37" s="10" t="str">
        <x:v>알에서 태어난 아이</x:v>
      </x:c>
      <x:c r="C37" s="10" t="str">
        <x:v>GO-05</x:v>
      </x:c>
      <x:c r="D37" s="10" t="str">
        <x:v>유화·하백의 딸·알에서 태어난 주몽·활을 잘 쏘는 이름의 뜻은 건국 전승의 내용으로 이해한다. 신성한 기원이라는 의미와 사실 검증을 구분한다.</x:v>
      </x:c>
      <x:c r="E37" s="10" t="str">
        <x:v>알 옆에 활을 그리는 주인공의 기억 그림.</x:v>
      </x:c>
      <x:c r="F37" s="27" t="n">
        <x:v>3</x:v>
      </x:c>
      <x:c r="G37" s="10" t="str">
        <x:v>—</x:v>
      </x:c>
      <x:c r="H37" s="10" t="str">
        <x:v>없음</x:v>
      </x:c>
      <x:c r="I37" s="10" t="str">
        <x:v>CH03 S05</x:v>
      </x:c>
    </x:row>
    <x:row r="38" ht="39" customHeight="1">
      <x:c r="A38" s="11" t="str">
        <x:v>CH03 S05</x:v>
      </x:c>
      <x:c r="B38" s="11" t="str">
        <x:v>부여를 떠난 주몽</x:v>
      </x:c>
      <x:c r="C38" s="11" t="str">
        <x:v>GO-05</x:v>
      </x:c>
      <x:c r="D38" s="11" t="str">
        <x:v>주몽이 부여를 떠나 남하했다는 내용은 건국 전승의 이동 서사다. 현대 주인공과 단의 창작 여행 및 라온의 선택과 구분한다.</x:v>
      </x:c>
      <x:c r="E38" s="11" t="str">
        <x:v>“묻지 못한 거야, 듣지 못한 거야?” 뒤에 남는 불소리.</x:v>
      </x:c>
      <x:c r="F38" s="28" t="n">
        <x:v>0</x:v>
      </x:c>
      <x:c r="G38" s="11" t="str">
        <x:v>—</x:v>
      </x:c>
      <x:c r="H38" s="11" t="str">
        <x:v>없음</x:v>
      </x:c>
      <x:c r="I38" s="11" t="str">
        <x:v>CH03 S06</x:v>
      </x:c>
    </x:row>
    <x:row r="39" ht="53.25" customHeight="1">
      <x:c r="A39" s="10" t="str">
        <x:v>CH03 S06</x:v>
      </x:c>
      <x:c r="B39" s="10" t="str">
        <x:v>졸본의 새로운 나라</x:v>
      </x:c>
      <x:c r="C39" s="10" t="str">
        <x:v>GO-05</x:v>
      </x:c>
      <x:c r="D39" s="10" t="str">
        <x:v>학습 정리: 주몽=동명성왕, 기원전 37년 졸본에서 고구려 건국. 졸본은 현재 중국 환인 일대로 추정하되 정확한 지점을 단정하지 않는다. 건국 전승과 220~221년 여행을 분리한다.</x:v>
      </x:c>
      <x:c r="E39" s="10" t="str">
        <x:v>불이 잦아들며 “주몽–졸본–고구려”가 남고 현재의 산성이 돌아온다.</x:v>
      </x:c>
      <x:c r="F39" s="27" t="n">
        <x:v>0</x:v>
      </x:c>
      <x:c r="G39" s="10" t="str">
        <x:v>—</x:v>
      </x:c>
      <x:c r="H39" s="10" t="str">
        <x:v>없음</x:v>
      </x:c>
      <x:c r="I39" s="10" t="str">
        <x:v>CH03 S07</x:v>
      </x:c>
    </x:row>
    <x:row r="40" ht="39" customHeight="1">
      <x:c r="A40" s="11" t="str">
        <x:v>CH03 S07</x:v>
      </x:c>
      <x:c r="B40" s="11" t="str">
        <x:v>성문 앞의 검문</x:v>
      </x:c>
      <x:c r="C40" s="11" t="str">
        <x:v>서사 장면</x:v>
      </x:c>
      <x:c r="D40" s="11" t="str">
        <x:v>이 씬은 인물의 감정과 다음 행동을 잇는다.</x:v>
      </x:c>
      <x:c r="E40" s="11" t="str">
        <x:v>품속 편지는 감추고 바깥의 매듭부터 드러나는 검문.</x:v>
      </x:c>
      <x:c r="F40" s="28" t="n">
        <x:v>3</x:v>
      </x:c>
      <x:c r="G40" s="11" t="str">
        <x:v>—</x:v>
      </x:c>
      <x:c r="H40" s="11" t="str">
        <x:v>없음</x:v>
      </x:c>
      <x:c r="I40" s="11" t="str">
        <x:v>CH03 S08</x:v>
      </x:c>
    </x:row>
    <x:row r="41" ht="39" customHeight="1">
      <x:c r="A41" s="10" t="str">
        <x:v>CH03 S08</x:v>
      </x:c>
      <x:c r="B41" s="10" t="str">
        <x:v>단의 거짓말</x:v>
      </x:c>
      <x:c r="C41" s="10" t="str">
        <x:v>서사 장면</x:v>
      </x:c>
      <x:c r="D41" s="10" t="str">
        <x:v>이 씬은 인물의 감정과 다음 행동을 잇는다.</x:v>
      </x:c>
      <x:c r="E41" s="10" t="str">
        <x:v>동생의 매듭을 쥔 채 “동생이 없다”고 말하는 단.</x:v>
      </x:c>
      <x:c r="F41" s="27" t="n">
        <x:v>3</x:v>
      </x:c>
      <x:c r="G41" s="10" t="str">
        <x:v>—</x:v>
      </x:c>
      <x:c r="H41" s="10" t="str">
        <x:v>없음</x:v>
      </x:c>
      <x:c r="I41" s="10" t="str">
        <x:v>CH03 S09</x:v>
      </x:c>
    </x:row>
    <x:row r="42" ht="96" customHeight="1">
      <x:c r="A42" s="11" t="str">
        <x:v>CH03 S09</x:v>
      </x:c>
      <x:c r="B42" s="11" t="str">
        <x:v>성 안의 질서</x:v>
      </x:c>
      <x:c r="C42" s="11" t="str">
        <x:v>GO-01
BU-02</x:v>
      </x:c>
      <x:c r="D42" s="11" t="str">
        <x:v>초기 고구려는 5부 세력의 연맹으로 성장했고 왕과 여러 대가가 중요한 일을 논의하는 제가회의가 있었다. 여러 부의 지배층은 각자의 기반을 가졌다.
부여 사출도는 여러 가의 지역 지배 구조로, 고구려 제가회의라는 회의 기구와 개념을 구분한다.</x:v>
      </x:c>
      <x:c r="E42" s="11" t="str">
        <x:v>“사출도는 다스리는 지역, 제가회의는 의논하는 자리”라는 주인공의 보조 기억.</x:v>
      </x:c>
      <x:c r="F42" s="28" t="n">
        <x:v>3</x:v>
      </x:c>
      <x:c r="G42" s="11" t="str">
        <x:v>76회 심화 2번</x:v>
      </x:c>
      <x:c r="H42" s="11" t="str">
        <x:v>없음</x:v>
      </x:c>
      <x:c r="I42" s="11" t="str">
        <x:v>CH03 S10</x:v>
      </x:c>
    </x:row>
    <x:row r="43" ht="53.25" customHeight="1">
      <x:c r="A43" s="10" t="str">
        <x:v>CH03 S10</x:v>
      </x:c>
      <x:c r="B43" s="10" t="str">
        <x:v>고구려의 혼인 풍습</x:v>
      </x:c>
      <x:c r="C43" s="10" t="str">
        <x:v>GO-02</x:v>
      </x:c>
      <x:c r="D43" s="10" t="str">
        <x:v>서옥제는 신랑이 신부 집의 서옥에 머물다가 자녀가 자라면 아내·자녀와 자기 집으로 가는 혼인 풍습이다. 평생 처가에서 사는 제도로 단정하지 않는다.</x:v>
      </x:c>
      <x:c r="E43" s="10" t="str">
        <x:v>뒤편 작은 집의 문을 보며 기억하는 신랑의 이동 방향.</x:v>
      </x:c>
      <x:c r="F43" s="27" t="n">
        <x:v>0</x:v>
      </x:c>
      <x:c r="G43" s="10" t="str">
        <x:v>57회 심화 3번
76회 심화 2번</x:v>
      </x:c>
      <x:c r="H43" s="10" t="str">
        <x:v>없음</x:v>
      </x:c>
      <x:c r="I43" s="10" t="str">
        <x:v>CH03 S11</x:v>
      </x:c>
    </x:row>
    <x:row r="44" ht="81.75" customHeight="1">
      <x:c r="A44" s="11" t="str">
        <x:v>CH03 S11</x:v>
      </x:c>
      <x:c r="B44" s="11" t="str">
        <x:v>동맹의 이야기</x:v>
      </x:c>
      <x:c r="C44" s="11" t="str">
        <x:v>GO-03
BU-03</x:v>
      </x:c>
      <x:c r="D44" s="11" t="str">
        <x:v>고구려의 제천 행사는 동맹이며 10월에 열린다. 본 장은 겨울~초봄이므로 행사에 관해 듣는 장면이다.
앞 장에서 실제 겪은 부여의 영고는 12월로 회수하고 고구려 동맹 10월과 구분한다.</x:v>
      </x:c>
      <x:c r="E44" s="11" t="str">
        <x:v>겨울 발자국이 남은 빈 광장에서 듣는 10월의 노랫소리.</x:v>
      </x:c>
      <x:c r="F44" s="28" t="n">
        <x:v>0</x:v>
      </x:c>
      <x:c r="G44" s="11" t="str">
        <x:v>57회 심화 3번
76회 심화 2번
67회 심화 2번</x:v>
      </x:c>
      <x:c r="H44" s="11" t="str">
        <x:v>없음</x:v>
      </x:c>
      <x:c r="I44" s="11" t="str">
        <x:v>CH03 S12</x:v>
      </x:c>
    </x:row>
    <x:row r="45" ht="39" customHeight="1">
      <x:c r="A45" s="10" t="str">
        <x:v>CH03 S12</x:v>
      </x:c>
      <x:c r="B45" s="10" t="str">
        <x:v>사라진 교역단의 기록</x:v>
      </x:c>
      <x:c r="C45" s="10" t="str">
        <x:v>GE-02</x:v>
      </x:c>
      <x:c r="D45" s="10" t="str">
        <x:v>교역로를 따라 물건과 사람이 이동하며 소식이 전해진다. 구체적인 철 그림·라온 목격·교역단 해산은 창작 사건이다.</x:v>
      </x:c>
      <x:c r="E45" s="10" t="str">
        <x:v>아린의 천 옆 철 그림이 교역 기록 여백에서 한 단계 더 이어진다.</x:v>
      </x:c>
      <x:c r="F45" s="27" t="n">
        <x:v>3</x:v>
      </x:c>
      <x:c r="G45" s="10" t="str">
        <x:v>—</x:v>
      </x:c>
      <x:c r="H45" s="10" t="str">
        <x:v>없음</x:v>
      </x:c>
      <x:c r="I45" s="10" t="str">
        <x:v>CH03 S13</x:v>
      </x:c>
    </x:row>
    <x:row r="46" ht="53.25" customHeight="1">
      <x:c r="A46" s="11" t="str">
        <x:v>CH03 S13</x:v>
      </x:c>
      <x:c r="B46" s="11" t="str">
        <x:v>산성에서의 밤</x:v>
      </x:c>
      <x:c r="C46" s="11" t="str">
        <x:v>GO-04</x:v>
      </x:c>
      <x:c r="D46" s="11" t="str">
        <x:v>족보의 고구려 1책12법은 절도에 대한 12배 배상이라는 학습 기억으로 보존한다. 후대 『주서』 10배·『구당서』 12배라는 차이를 함께 명시하여 221년 현행법 직접 확인과 구분한다.</x:v>
      </x:c>
      <x:c r="E46" s="11" t="str">
        <x:v>머릿속에서는 기록의 시점을 나누고, 눈앞에서는 단이 하지 않은 말을 기다리는 밤.</x:v>
      </x:c>
      <x:c r="F46" s="28" t="n">
        <x:v>0</x:v>
      </x:c>
      <x:c r="G46" s="11" t="str">
        <x:v>—</x:v>
      </x:c>
      <x:c r="H46" s="11" t="str">
        <x:v>없음</x:v>
      </x:c>
      <x:c r="I46" s="11" t="str">
        <x:v>CH03 S14</x:v>
      </x:c>
    </x:row>
    <x:row r="47" ht="138.75" customHeight="1">
      <x:c r="A47" s="10" t="str">
        <x:v>CH03 S14</x:v>
      </x:c>
      <x:c r="B47" s="10" t="str">
        <x:v>고구려를 떠나며</x:v>
      </x:c>
      <x:c r="C47" s="10" t="str">
        <x:v>GO-05
GO-01
GO-02
GO-03</x:v>
      </x:c>
      <x:c r="D47" s="10" t="str">
        <x:v>주몽·졸본의 건국 전승과 여행 현재의 고구려 생활을 구분하여 회수한다.
제가회의를 성 안의 공동 의논 장면으로 회수한다.
서옥을 혼인 거주 풍습의 공간으로 회수한다.
고구려 동맹은 10월이며 현재 여행 중 개최된 행사로 기억하지 않는다.</x:v>
      </x:c>
      <x:c r="E47" s="10" t="str">
        <x:v>뒤로 멀어지는 산성, 앞으로 펼치는 천, 옆에 따라 그리는 철 그림.</x:v>
      </x:c>
      <x:c r="F47" s="27" t="n">
        <x:v>0</x:v>
      </x:c>
      <x:c r="G47" s="10" t="str">
        <x:v>76회 심화 2번</x:v>
      </x:c>
      <x:c r="H47" s="34" t="str">
        <x:v>76회 심화 2번</x:v>
      </x:c>
      <x:c r="I47" s="10" t="str">
        <x:v>CH04 S01</x:v>
      </x:c>
    </x:row>
    <x:row r="48" ht="39" customHeight="1">
      <x:c r="A48" s="11" t="str">
        <x:v>CH04 S01</x:v>
      </x:c>
      <x:c r="B48" s="11" t="str">
        <x:v>바다가 보이는 길</x:v>
      </x:c>
      <x:c r="C48" s="11" t="str">
        <x:v>서사 장면</x:v>
      </x:c>
      <x:c r="D48" s="11" t="str">
        <x:v>이 씬은 인물의 감정과 다음 행동을 잇는다.</x:v>
      </x:c>
      <x:c r="E48" s="11" t="str">
        <x:v>바다 앞에서 나란히 펼친 천과 매듭, 여전히 품에 남은 편지.</x:v>
      </x:c>
      <x:c r="F48" s="28" t="n">
        <x:v>3</x:v>
      </x:c>
      <x:c r="G48" s="11" t="str">
        <x:v>—</x:v>
      </x:c>
      <x:c r="H48" s="11" t="str">
        <x:v>없음</x:v>
      </x:c>
      <x:c r="I48" s="11" t="str">
        <x:v>CH04 S02</x:v>
      </x:c>
    </x:row>
    <x:row r="49" ht="39" customHeight="1">
      <x:c r="A49" s="10" t="str">
        <x:v>CH04 S02</x:v>
      </x:c>
      <x:c r="B49" s="10" t="str">
        <x:v>소하와의 만남</x:v>
      </x:c>
      <x:c r="C49" s="10" t="str">
        <x:v>서사 장면</x:v>
      </x:c>
      <x:c r="D49" s="10" t="str">
        <x:v>이 씬은 인물의 감정과 다음 행동을 잇는다.</x:v>
      </x:c>
      <x:c r="E49" s="10" t="str">
        <x:v>고구려 성문과 달리 또렷하게 말하는 “동생을 찾고 있습니다.”</x:v>
      </x:c>
      <x:c r="F49" s="27" t="n">
        <x:v>3</x:v>
      </x:c>
      <x:c r="G49" s="10" t="str">
        <x:v>—</x:v>
      </x:c>
      <x:c r="H49" s="10" t="str">
        <x:v>없음</x:v>
      </x:c>
      <x:c r="I49" s="10" t="str">
        <x:v>CH04 S03</x:v>
      </x:c>
    </x:row>
    <x:row r="50" ht="124.5" customHeight="1">
      <x:c r="A50" s="11" t="str">
        <x:v>CH04 S03</x:v>
      </x:c>
      <x:c r="B50" s="11" t="str">
        <x:v>바닷가 사람들의 삶</x:v>
      </x:c>
      <x:c r="C50" s="11" t="str">
        <x:v>OK-01
OK-04
GE-02</x:v>
      </x:c>
      <x:c r="D50" s="11" t="str">
        <x:v>옥저에는 전체를 통치하는 왕이 없고 읍군·삼로 등 읍락의 군장이 있었다. 왕 부재를 지도자·규칙 부재로 이해하지 않는다.
옥저는 소금·어물을 생산했으며 고구려의 지배를 받으며 이를 공납했다. 교역과 공납은 구별한다.
짐을 옮기는 교역로가 사람과 소식의 이동로가 되는 장면을 회수한다. 라온의 노동과 이동은 창작이다.</x:v>
      </x:c>
      <x:c r="E50" s="11" t="str">
        <x:v>판매할 짐과 바칠 짐의 표시를 보고 옮기는 손.</x:v>
      </x:c>
      <x:c r="F50" s="28" t="n">
        <x:v>0</x:v>
      </x:c>
      <x:c r="G50" s="11" t="str">
        <x:v>66회 심화 2번
67회 기본 2번
73회 심화 4번</x:v>
      </x:c>
      <x:c r="H50" s="11" t="str">
        <x:v>없음</x:v>
      </x:c>
      <x:c r="I50" s="11" t="str">
        <x:v>CH04 S04</x:v>
      </x:c>
    </x:row>
    <x:row r="51" ht="110.25" customHeight="1">
      <x:c r="A51" s="10" t="str">
        <x:v>CH04 S04</x:v>
      </x:c>
      <x:c r="B51" s="10" t="str">
        <x:v>어린 신부의 이야기</x:v>
      </x:c>
      <x:c r="C51" s="10" t="str">
        <x:v>OK-02
GO-02</x:v>
      </x:c>
      <x:c r="D51" s="10" t="str">
        <x:v>민며느리제: 어린 여자아이가 신랑 집에서 자라다가 성장 후 친정으로 돌아가고, 남자 쪽이 재화를 주고 다시 맞아 혼인하는 풍습. 제도의 존재 설명과 미화·개인 동의의 추정을 구분한다.
서옥제는 신랑이 신부 집의 서옥에 거주하다 자녀 성장 뒤 아내·자녀와 자기 집으로 가는 풍습으로, 민며느리제와 이동 주체·방향·시기가 다르다.</x:v>
      </x:c>
      <x:c r="E51" s="10" t="str">
        <x:v>탁자 위에 서로 반대 방향으로 그린 두 집의 길.</x:v>
      </x:c>
      <x:c r="F51" s="27" t="n">
        <x:v>3</x:v>
      </x:c>
      <x:c r="G51" s="10" t="str">
        <x:v>66회 심화 2번
67회 기본 2번</x:v>
      </x:c>
      <x:c r="H51" s="10" t="str">
        <x:v>없음</x:v>
      </x:c>
      <x:c r="I51" s="10" t="str">
        <x:v>CH04 S05</x:v>
      </x:c>
    </x:row>
    <x:row r="52" ht="53.25" customHeight="1">
      <x:c r="A52" s="11" t="str">
        <x:v>CH04 S05</x:v>
      </x:c>
      <x:c r="B52" s="11" t="str">
        <x:v>가족의 무덤</x:v>
      </x:c>
      <x:c r="C52" s="11" t="str">
        <x:v>OK-03</x:v>
      </x:c>
      <x:c r="D52" s="11" t="str">
        <x:v>옥저의 가족 공동 무덤은 사람이 죽으면 가매장한 뒤 뼈를 추려 가족의 큰 나무 곽에 함께 모으는 장례 풍속이다. 처음부터 가족을 생매장하는 의미가 아니다.</x:v>
      </x:c>
      <x:c r="E52" s="11" t="str">
        <x:v>멀리 보이는 무덤 앞에서 처음 꺼내는 “앞으로 살고 싶은 삶”.</x:v>
      </x:c>
      <x:c r="F52" s="28" t="n">
        <x:v>0</x:v>
      </x:c>
      <x:c r="G52" s="11" t="str">
        <x:v>66회 심화 2번
67회 기본 2번
73회 심화 4번</x:v>
      </x:c>
      <x:c r="H52" s="33" t="str">
        <x:v>66회 심화 2번
67회 기본 2번</x:v>
      </x:c>
      <x:c r="I52" s="11" t="str">
        <x:v>CH04 S06</x:v>
      </x:c>
    </x:row>
    <x:row r="53" ht="39" customHeight="1">
      <x:c r="A53" s="10" t="str">
        <x:v>CH04 S06</x:v>
      </x:c>
      <x:c r="B53" s="10" t="str">
        <x:v>기다리던 청년</x:v>
      </x:c>
      <x:c r="C53" s="10" t="str">
        <x:v>서사 장면</x:v>
      </x:c>
      <x:c r="D53" s="10" t="str">
        <x:v>이 씬은 인물의 감정과 다음 행동을 잇는다.</x:v>
      </x:c>
      <x:c r="E53" s="10" t="str">
        <x:v>단이 라온이 앉았던 자리에서 같은 길을 바라본다.</x:v>
      </x:c>
      <x:c r="F53" s="27" t="n">
        <x:v>0</x:v>
      </x:c>
      <x:c r="G53" s="10" t="str">
        <x:v>—</x:v>
      </x:c>
      <x:c r="H53" s="10" t="str">
        <x:v>없음</x:v>
      </x:c>
      <x:c r="I53" s="10" t="str">
        <x:v>CH04 S07</x:v>
      </x:c>
    </x:row>
    <x:row r="54" ht="39" customHeight="1">
      <x:c r="A54" s="11" t="str">
        <x:v>CH04 S07</x:v>
      </x:c>
      <x:c r="B54" s="11" t="str">
        <x:v>라온이 남긴 말</x:v>
      </x:c>
      <x:c r="C54" s="11" t="str">
        <x:v>서사 장면</x:v>
      </x:c>
      <x:c r="D54" s="11" t="str">
        <x:v>이 씬은 인물의 감정과 다음 행동을 잇는다.</x:v>
      </x:c>
      <x:c r="E54" s="11" t="str">
        <x:v>“괜찮다”는 전언 뒤에 붙는 “직접 할 말이 있다”.</x:v>
      </x:c>
      <x:c r="F54" s="28" t="n">
        <x:v>3</x:v>
      </x:c>
      <x:c r="G54" s="11" t="str">
        <x:v>—</x:v>
      </x:c>
      <x:c r="H54" s="11" t="str">
        <x:v>없음</x:v>
      </x:c>
      <x:c r="I54" s="11" t="str">
        <x:v>CH04 S08</x:v>
      </x:c>
    </x:row>
    <x:row r="55" ht="39" customHeight="1">
      <x:c r="A55" s="10" t="str">
        <x:v>CH04 S08</x:v>
      </x:c>
      <x:c r="B55" s="10" t="str">
        <x:v>형의 기억</x:v>
      </x:c>
      <x:c r="C55" s="10" t="str">
        <x:v>서사 장면</x:v>
      </x:c>
      <x:c r="D55" s="10" t="str">
        <x:v>이 씬은 인물의 감정과 다음 행동을 잇는다.</x:v>
      </x:c>
      <x:c r="E55" s="10" t="str">
        <x:v>단 앞에서 접힌 철 그림이 부여의 천과 고구려의 기록으로 다시 펼쳐졌다.</x:v>
      </x:c>
      <x:c r="F55" s="27" t="n">
        <x:v>0</x:v>
      </x:c>
      <x:c r="G55" s="10" t="str">
        <x:v>—</x:v>
      </x:c>
      <x:c r="H55" s="10" t="str">
        <x:v>없음</x:v>
      </x:c>
      <x:c r="I55" s="10" t="str">
        <x:v>CH04 S09</x:v>
      </x:c>
    </x:row>
    <x:row r="56" ht="32.25" customHeight="1">
      <x:c r="A56" s="11" t="str">
        <x:v>CH04 S09</x:v>
      </x:c>
      <x:c r="B56" s="11" t="str">
        <x:v>처음 털어놓는 후회</x:v>
      </x:c>
      <x:c r="C56" s="11" t="str">
        <x:v>서사 장면</x:v>
      </x:c>
      <x:c r="D56" s="11" t="str">
        <x:v>이 씬은 인물의 감정과 다음 행동을 잇는다.</x:v>
      </x:c>
      <x:c r="E56" s="11" t="str">
        <x:v>매듭을 버리지도, 더 세게 조이지도 않는 손.</x:v>
      </x:c>
      <x:c r="F56" s="28" t="n">
        <x:v>3</x:v>
      </x:c>
      <x:c r="G56" s="11" t="str">
        <x:v>—</x:v>
      </x:c>
      <x:c r="H56" s="11" t="str">
        <x:v>없음</x:v>
      </x:c>
      <x:c r="I56" s="11" t="str">
        <x:v>CH04 S10</x:v>
      </x:c>
    </x:row>
    <x:row r="57" ht="39" customHeight="1">
      <x:c r="A57" s="10" t="str">
        <x:v>CH04 S10</x:v>
      </x:c>
      <x:c r="B57" s="10" t="str">
        <x:v>남쪽을 향해</x:v>
      </x:c>
      <x:c r="C57" s="10" t="str">
        <x:v>서사 장면</x:v>
      </x:c>
      <x:c r="D57" s="10" t="str">
        <x:v>이 씬은 인물의 감정과 다음 행동을 잇는다.</x:v>
      </x:c>
      <x:c r="E57" s="10" t="str">
        <x:v>“직접 할 말”이 들어갈 자리를 비워 둔 채 남쪽으로 걷는다.</x:v>
      </x:c>
      <x:c r="F57" s="27" t="n">
        <x:v>0</x:v>
      </x:c>
      <x:c r="G57" s="10" t="str">
        <x:v>—</x:v>
      </x:c>
      <x:c r="H57" s="10" t="str">
        <x:v>없음</x:v>
      </x:c>
      <x:c r="I57" s="10" t="str">
        <x:v>CH05 S01</x:v>
      </x:c>
    </x:row>
    <x:row r="58" ht="32.25" customHeight="1">
      <x:c r="A58" s="11" t="str">
        <x:v>CH05 S01</x:v>
      </x:c>
      <x:c r="B58" s="11" t="str">
        <x:v>낯선 경계</x:v>
      </x:c>
      <x:c r="C58" s="11" t="str">
        <x:v>서사 장면</x:v>
      </x:c>
      <x:c r="D58" s="11" t="str">
        <x:v>이 씬은 인물의 감정과 다음 행동을 잇는다.</x:v>
      </x:c>
      <x:c r="E58" s="11" t="str">
        <x:v>빨리 가려던 발밑에서 끊어진 경계의 줄.</x:v>
      </x:c>
      <x:c r="F58" s="28" t="n">
        <x:v>0</x:v>
      </x:c>
      <x:c r="G58" s="11" t="str">
        <x:v>—</x:v>
      </x:c>
      <x:c r="H58" s="11" t="str">
        <x:v>없음</x:v>
      </x:c>
      <x:c r="I58" s="11" t="str">
        <x:v>CH05 S02</x:v>
      </x:c>
    </x:row>
    <x:row r="59" ht="96" customHeight="1">
      <x:c r="A59" s="10" t="str">
        <x:v>CH05 S02</x:v>
      </x:c>
      <x:c r="B59" s="10" t="str">
        <x:v>책화</x:v>
      </x:c>
      <x:c r="C59" s="10" t="str">
        <x:v>DY-02</x:v>
      </x:c>
      <x:c r="D59" s="10" t="str">
        <x:v>책화는 다른 읍락의 생활 영역을 침범했을 때 배상을 요구하는 동예의 풍습이다.</x:v>
      </x:c>
      <x:c r="E59" s="10" t="str">
        <x:v>끊어진 줄을 보고 책화의 ‘경계 침범→배상’을 기억한다.</x:v>
      </x:c>
      <x:c r="F59" s="27" t="n">
        <x:v>3</x:v>
      </x:c>
      <x:c r="G59" s="10" t="str">
        <x:v>64회 기본 2번
69회 심화 3번
77회 심화 3번
57회 기본 2번
63회 심화 2번
79회 심화 2번</x:v>
      </x:c>
      <x:c r="H59" s="10" t="str">
        <x:v>없음</x:v>
      </x:c>
      <x:c r="I59" s="10" t="str">
        <x:v>CH05 S03</x:v>
      </x:c>
    </x:row>
    <x:row r="60" ht="39" customHeight="1">
      <x:c r="A60" s="11" t="str">
        <x:v>CH05 S03</x:v>
      </x:c>
      <x:c r="B60" s="11" t="str">
        <x:v>책임을 지다</x:v>
      </x:c>
      <x:c r="C60" s="11" t="str">
        <x:v>DY-02</x:v>
      </x:c>
      <x:c r="D60" s="11" t="str">
        <x:v>책화의 배상은 읍락 영역 침범에 관한 책임이며 단순한 여행 통행료가 아니다.</x:v>
      </x:c>
      <x:c r="E60" s="11" t="str">
        <x:v>배상 논의 뒤 두 사람이 같이 잡아당겨 보는 매듭.</x:v>
      </x:c>
      <x:c r="F60" s="28" t="n">
        <x:v>3</x:v>
      </x:c>
      <x:c r="G60" s="11" t="str">
        <x:v>—</x:v>
      </x:c>
      <x:c r="H60" s="11" t="str">
        <x:v>없음</x:v>
      </x:c>
      <x:c r="I60" s="11" t="str">
        <x:v>CH05 S04</x:v>
      </x:c>
    </x:row>
    <x:row r="61" ht="53.25" customHeight="1">
      <x:c r="A61" s="10" t="str">
        <x:v>CH05 S04</x:v>
      </x:c>
      <x:c r="B61" s="10" t="str">
        <x:v>마을의 규칙</x:v>
      </x:c>
      <x:c r="C61" s="10" t="str">
        <x:v>DY-01</x:v>
      </x:c>
      <x:c r="D61" s="10" t="str">
        <x:v>동예는 왕 없이 읍군·삼로라 불리는 군장이 읍락을 다스렸다.</x:v>
      </x:c>
      <x:c r="E61" s="10" t="str">
        <x:v>읍군·삼로와 함께 경계를 의논하는 마을; 라온은 물어보고 돌아간 사람.</x:v>
      </x:c>
      <x:c r="F61" s="27" t="n">
        <x:v>0</x:v>
      </x:c>
      <x:c r="G61" s="10" t="str">
        <x:v>64회 기본 2번
69회 심화 3번
63회 심화 2번</x:v>
      </x:c>
      <x:c r="H61" s="10" t="str">
        <x:v>없음</x:v>
      </x:c>
      <x:c r="I61" s="10" t="str">
        <x:v>CH05 S05</x:v>
      </x:c>
    </x:row>
    <x:row r="62" ht="81.75" customHeight="1">
      <x:c r="A62" s="11" t="str">
        <x:v>CH05 S05</x:v>
      </x:c>
      <x:c r="B62" s="11" t="str">
        <x:v>혼인 풍습</x:v>
      </x:c>
      <x:c r="C62" s="11" t="str">
        <x:v>DY-03
DY-02</x:v>
      </x:c>
      <x:c r="D62" s="11" t="str">
        <x:v>족외혼은 같은 씨족 안에서 혼인하지 않는 풍습이다. 읍락 영역 침범의 배상인 책화와 구별한다.
책화는 혼인 상대를 정하는 규칙이 아니라 읍락의 생활 영역에 대한 배상 관습이다.</x:v>
      </x:c>
      <x:c r="E62" s="11" t="str">
        <x:v>혼인 손님을 맞는 문과 함부로 넘었던 사냥터 경계의 차이.</x:v>
      </x:c>
      <x:c r="F62" s="28" t="n">
        <x:v>0</x:v>
      </x:c>
      <x:c r="G62" s="11" t="str">
        <x:v>64회 기본 2번
79회 심화 2번</x:v>
      </x:c>
      <x:c r="H62" s="11" t="str">
        <x:v>없음</x:v>
      </x:c>
      <x:c r="I62" s="11" t="str">
        <x:v>CH05 S06</x:v>
      </x:c>
    </x:row>
    <x:row r="63" ht="124.5" customHeight="1">
      <x:c r="A63" s="10" t="str">
        <x:v>CH05 S06</x:v>
      </x:c>
      <x:c r="B63" s="10" t="str">
        <x:v>무천의 이야기</x:v>
      </x:c>
      <x:c r="C63" s="10" t="str">
        <x:v>DY-04
GO-03
BU-03</x:v>
      </x:c>
      <x:c r="D63" s="10" t="str">
        <x:v>동예의 무천은 10월 제천 행사다. 봄 여행에서는 주민의 설명으로 듣는다.
고구려 동맹도 10월이며 현재 겨울 여행에서 직접 참가한 행사가 아니다.
부여 영고는 겨울 12월로 두 10월 행사와 구분한다.</x:v>
      </x:c>
      <x:c r="E63" s="10" t="str">
        <x:v>부영(이와) 고동(어는) 동무(다)</x:v>
      </x:c>
      <x:c r="F63" s="27" t="n">
        <x:v>0</x:v>
      </x:c>
      <x:c r="G63" s="10" t="str">
        <x:v>64회 기본 2번
70회 심화 2번
57회 심화 3번
69회 심화 3번
77회 심화 3번
67회 심화 2번
57회 기본 2번
63회 심화 2번</x:v>
      </x:c>
      <x:c r="H63" s="34" t="str">
        <x:v>57회 심화 3번</x:v>
      </x:c>
      <x:c r="I63" s="10" t="str">
        <x:v>CH05 S07</x:v>
      </x:c>
    </x:row>
    <x:row r="64" ht="96" customHeight="1">
      <x:c r="A64" s="11" t="str">
        <x:v>CH05 S07</x:v>
      </x:c>
      <x:c r="B64" s="11" t="str">
        <x:v>동예의 특산물</x:v>
      </x:c>
      <x:c r="C64" s="11" t="str">
        <x:v>DY-05
GE-02</x:v>
      </x:c>
      <x:c r="D64" s="11" t="str">
        <x:v>동예의 특산물은 단궁·과하마·반어피이다. 단궁은 활, 과하마는 작은 말, 반어피는 바다표범류 가죽으로 연결한다.
지역의 생산물과 교역로를 따라 물건뿐 아니라 사람의 소식도 전해진다.</x:v>
      </x:c>
      <x:c r="E64" s="11" t="str">
        <x:v>가지 아래 작은 말, 그 옆의 활, 얼룩진 바다 가죽을 한 장면에서 회수.</x:v>
      </x:c>
      <x:c r="F64" s="28" t="n">
        <x:v>0</x:v>
      </x:c>
      <x:c r="G64" s="11" t="str">
        <x:v>64회 기본 2번
70회 심화 2번
77회 심화 3번
57회 기본 2번
63회 심화 2번
79회 심화 2번</x:v>
      </x:c>
      <x:c r="H64" s="33" t="str">
        <x:v>64회 기본 2번
70회 심화 2번
77회 심화 3번</x:v>
      </x:c>
      <x:c r="I64" s="11" t="str">
        <x:v>CH05 S08</x:v>
      </x:c>
    </x:row>
    <x:row r="65" ht="39" customHeight="1">
      <x:c r="A65" s="10" t="str">
        <x:v>CH05 S08</x:v>
      </x:c>
      <x:c r="B65" s="10" t="str">
        <x:v>떠나는 사람의 마음</x:v>
      </x:c>
      <x:c r="C65" s="10" t="str">
        <x:v>서사 장면</x:v>
      </x:c>
      <x:c r="D65" s="10" t="str">
        <x:v>이 씬은 인물의 감정과 다음 행동을 잇는다.</x:v>
      </x:c>
      <x:c r="E65" s="10" t="str">
        <x:v>매듭을 쥐는 힘이 풀리고 질문 하나가 남는다.</x:v>
      </x:c>
      <x:c r="F65" s="27" t="n">
        <x:v>3</x:v>
      </x:c>
      <x:c r="G65" s="10" t="str">
        <x:v>—</x:v>
      </x:c>
      <x:c r="H65" s="10" t="str">
        <x:v>없음</x:v>
      </x:c>
      <x:c r="I65" s="10" t="str">
        <x:v>CH05 S09</x:v>
      </x:c>
    </x:row>
    <x:row r="66" ht="32.25" customHeight="1">
      <x:c r="A66" s="11" t="str">
        <x:v>CH05 S09</x:v>
      </x:c>
      <x:c r="B66" s="11" t="str">
        <x:v>다시 길 위에서</x:v>
      </x:c>
      <x:c r="C66" s="11" t="str">
        <x:v>서사 장면</x:v>
      </x:c>
      <x:c r="D66" s="11" t="str">
        <x:v>이 씬은 인물의 감정과 다음 행동을 잇는다.</x:v>
      </x:c>
      <x:c r="E66" s="11" t="str">
        <x:v>서로 인사를 마친 뒤 출발하는 두 사람.</x:v>
      </x:c>
      <x:c r="F66" s="28" t="n">
        <x:v>0</x:v>
      </x:c>
      <x:c r="G66" s="11" t="str">
        <x:v>—</x:v>
      </x:c>
      <x:c r="H66" s="11" t="str">
        <x:v>없음</x:v>
      </x:c>
      <x:c r="I66" s="11" t="str">
        <x:v>CH05 S10</x:v>
      </x:c>
    </x:row>
    <x:row r="67" ht="39" customHeight="1">
      <x:c r="A67" s="10" t="str">
        <x:v>CH05 S10</x:v>
      </x:c>
      <x:c r="B67" s="10" t="str">
        <x:v>인정</x:v>
      </x:c>
      <x:c r="C67" s="10" t="str">
        <x:v>서사 장면</x:v>
      </x:c>
      <x:c r="D67" s="10" t="str">
        <x:v>이 씬은 인물의 감정과 다음 행동을 잇는다.</x:v>
      </x:c>
      <x:c r="E67" s="10" t="str">
        <x:v>갈림길에서 먼저 멈추고 함께 표지를 보는 행동.</x:v>
      </x:c>
      <x:c r="F67" s="27" t="n">
        <x:v>0</x:v>
      </x:c>
      <x:c r="G67" s="10" t="str">
        <x:v>—</x:v>
      </x:c>
      <x:c r="H67" s="10" t="str">
        <x:v>없음</x:v>
      </x:c>
      <x:c r="I67" s="10" t="str">
        <x:v>CH06 S01</x:v>
      </x:c>
    </x:row>
    <x:row r="68" ht="32.25" customHeight="1">
      <x:c r="A68" s="11" t="str">
        <x:v>CH06 S01</x:v>
      </x:c>
      <x:c r="B68" s="11" t="str">
        <x:v>남쪽의 교역장</x:v>
      </x:c>
      <x:c r="C68" s="11" t="str">
        <x:v>서사 장면</x:v>
      </x:c>
      <x:c r="D68" s="11" t="str">
        <x:v>이 씬은 인물의 감정과 다음 행동을 잇는다.</x:v>
      </x:c>
      <x:c r="E68" s="11" t="str">
        <x:v>이동 중 반복해서 들리는 철 두드리는 소리</x:v>
      </x:c>
      <x:c r="F68" s="28" t="n">
        <x:v>3</x:v>
      </x:c>
      <x:c r="G68" s="11" t="str">
        <x:v>—</x:v>
      </x:c>
      <x:c r="H68" s="11" t="str">
        <x:v>없음</x:v>
      </x:c>
      <x:c r="I68" s="11" t="str">
        <x:v>CH06 S02</x:v>
      </x:c>
    </x:row>
    <x:row r="69" ht="53.25" customHeight="1">
      <x:c r="A69" s="10" t="str">
        <x:v>CH06 S02</x:v>
      </x:c>
      <x:c r="B69" s="10" t="str">
        <x:v>삼한의 여러 소국</x:v>
      </x:c>
      <x:c r="C69" s="10" t="str">
        <x:v>SH-01</x:v>
      </x:c>
      <x:c r="D69" s="10" t="str">
        <x:v>삼한은 마한·진한·변한을 가리키며 각각 여러 소국으로 이루어졌다. 세 중앙 집권 왕국과 동일시하지 않는다.</x:v>
      </x:c>
      <x:c r="E69" s="10" t="str">
        <x:v>한 교역장으로 모여드는 서로 다른 출발지의 짐</x:v>
      </x:c>
      <x:c r="F69" s="27" t="n">
        <x:v>0</x:v>
      </x:c>
      <x:c r="G69" s="10" t="str">
        <x:v>73회 심화 4번
61회 심화 2번
77회 기본 2번</x:v>
      </x:c>
      <x:c r="H69" s="10" t="str">
        <x:v>없음</x:v>
      </x:c>
      <x:c r="I69" s="10" t="str">
        <x:v>CH06 S03</x:v>
      </x:c>
    </x:row>
    <x:row r="70" ht="67.5" customHeight="1">
      <x:c r="A70" s="11" t="str">
        <x:v>CH06 S03</x:v>
      </x:c>
      <x:c r="B70" s="11" t="str">
        <x:v>소국의 지배자</x:v>
      </x:c>
      <x:c r="C70" s="11" t="str">
        <x:v>SH-02</x:v>
      </x:c>
      <x:c r="D70" s="11" t="str">
        <x:v>삼한의 소국 지배자에게 신지·읍차 등의 칭호가 있었다. 제사를 맡는 천군과 구분한다.</x:v>
      </x:c>
      <x:c r="E70" s="11" t="str">
        <x:v>길의 일을 의논하는 지배자의 자리와 나중에 만날 제사의 공간</x:v>
      </x:c>
      <x:c r="F70" s="28" t="n">
        <x:v>0</x:v>
      </x:c>
      <x:c r="G70" s="11" t="str">
        <x:v>73회 심화 4번
69회 심화 3번
61회 심화 2번
77회 기본 2번</x:v>
      </x:c>
      <x:c r="H70" s="11" t="str">
        <x:v>없음</x:v>
      </x:c>
      <x:c r="I70" s="11" t="str">
        <x:v>CH06 S04</x:v>
      </x:c>
    </x:row>
    <x:row r="71" ht="39" customHeight="1">
      <x:c r="A71" s="10" t="str">
        <x:v>CH06 S04</x:v>
      </x:c>
      <x:c r="B71" s="10" t="str">
        <x:v>철을 만드는 사람들</x:v>
      </x:c>
      <x:c r="C71" s="10" t="str">
        <x:v>SH-06</x:v>
      </x:c>
      <x:c r="D71" s="10" t="str">
        <x:v>변한은 철 생산이 활발한 지역으로 철이 농기구·무기 제작과 교역에 쓰였다.</x:v>
      </x:c>
      <x:c r="E71" s="10" t="str">
        <x:v>쇳덩이와 아직 자루를 달지 않은 농기구</x:v>
      </x:c>
      <x:c r="F71" s="27" t="n">
        <x:v>0</x:v>
      </x:c>
      <x:c r="G71" s="10" t="str">
        <x:v>—</x:v>
      </x:c>
      <x:c r="H71" s="10" t="str">
        <x:v>없음</x:v>
      </x:c>
      <x:c r="I71" s="10" t="str">
        <x:v>CH06 S05</x:v>
      </x:c>
    </x:row>
    <x:row r="72" ht="81.75" customHeight="1">
      <x:c r="A72" s="11" t="str">
        <x:v>CH06 S05</x:v>
      </x:c>
      <x:c r="B72" s="11" t="str">
        <x:v>철의 가치</x:v>
      </x:c>
      <x:c r="C72" s="11" t="str">
        <x:v>SH-06
GE-02</x:v>
      </x:c>
      <x:c r="D72" s="11" t="str">
        <x:v>변한은 철을 낙랑과 왜 등으로 수출했고 거래에서 철을 교환 수단으로 쓰기도 했다.
지역 사이의 물품·사람·소식 이동을 교역로에 연결하되 옥저의 공납과 자발적 교역을 같은 관계로 단정하지 않는다.</x:v>
      </x:c>
      <x:c r="E72" s="11" t="str">
        <x:v>바다로 가는 철과 논으로 가는 농기구의 갈라지는 길</x:v>
      </x:c>
      <x:c r="F72" s="28" t="n">
        <x:v>3</x:v>
      </x:c>
      <x:c r="G72" s="11" t="str">
        <x:v>—</x:v>
      </x:c>
      <x:c r="H72" s="11" t="str">
        <x:v>없음</x:v>
      </x:c>
      <x:c r="I72" s="11" t="str">
        <x:v>CH06 S06</x:v>
      </x:c>
    </x:row>
    <x:row r="73" ht="81.75" customHeight="1">
      <x:c r="A73" s="10" t="str">
        <x:v>CH06 S06</x:v>
      </x:c>
      <x:c r="B73" s="10" t="str">
        <x:v>천군과 소도</x:v>
      </x:c>
      <x:c r="C73" s="10" t="str">
        <x:v>SH-03</x:v>
      </x:c>
      <x:c r="D73" s="10" t="str">
        <x:v>천군은 제사를 맡는 사람이고 소도는 신성한 구역이다. 정치와 제사의 역할이 구분되는 특징을 제정 분리로 학습한다. 국읍의 천군과 별읍의 소도를 공간적으로 항상 동일시하지 않는다.</x:v>
      </x:c>
      <x:c r="E73" s="10" t="str">
        <x:v>장터의 지배자 자리와 대비되는 큰 나무·방울·북</x:v>
      </x:c>
      <x:c r="F73" s="27" t="n">
        <x:v>0</x:v>
      </x:c>
      <x:c r="G73" s="10" t="str">
        <x:v>73회 심화 4번
69회 심화 3번
61회 심화 2번
77회 기본 2번
78회 심화 3번</x:v>
      </x:c>
      <x:c r="H73" s="34" t="str">
        <x:v>73회 심화 4번
61회 심화 2번
77회 기본 2번</x:v>
      </x:c>
      <x:c r="I73" s="10" t="str">
        <x:v>CH06 S07</x:v>
      </x:c>
    </x:row>
    <x:row r="74" ht="124.5" customHeight="1">
      <x:c r="A74" s="11" t="str">
        <x:v>CH06 S07</x:v>
      </x:c>
      <x:c r="B74" s="11" t="str">
        <x:v>제사의 의미</x:v>
      </x:c>
      <x:c r="C74" s="11" t="str">
        <x:v>SH-04
SH-05
SH-07</x:v>
      </x:c>
      <x:c r="D74" s="11" t="str">
        <x:v>삼한의 계절제는 씨뿌리기를 마친 5월과 추수가 끝난 10월의 제천 행사이다.
족보의 두레는 삼한 공동 노동 학습과 연결해 보존하되 후대 두레의 구체적인 조직이 그대로 존재했다고 단정하지 않는다.
삼한에서 벼농사가 발달하고 농경 생활과 공동 노동, 계절제가 연결된다.</x:v>
      </x:c>
      <x:c r="E74" s="11" t="str">
        <x:v>둘이 들어야 움직이는 짐과 함께 준비하는 농사 뒤 음식</x:v>
      </x:c>
      <x:c r="F74" s="28" t="n">
        <x:v>0</x:v>
      </x:c>
      <x:c r="G74" s="11" t="str">
        <x:v>69회 심화 3번
78회 심화 3번
67회 심화 2번</x:v>
      </x:c>
      <x:c r="H74" s="33" t="str">
        <x:v>69회 심화 3번
78회 심화 3번</x:v>
      </x:c>
      <x:c r="I74" s="11" t="str">
        <x:v>CH06 S08</x:v>
      </x:c>
    </x:row>
    <x:row r="75" ht="39" customHeight="1">
      <x:c r="A75" s="10" t="str">
        <x:v>CH06 S08</x:v>
      </x:c>
      <x:c r="B75" s="10" t="str">
        <x:v>익숙한 매듭</x:v>
      </x:c>
      <x:c r="C75" s="10" t="str">
        <x:v>서사 장면</x:v>
      </x:c>
      <x:c r="D75" s="10" t="str">
        <x:v>이 씬은 인물의 감정과 다음 행동을 잇는다.</x:v>
      </x:c>
      <x:c r="E75" s="10" t="str">
        <x:v>버려진 매듭과 지금 쓰이는 도구의 매듭을 나란히 보는 장면</x:v>
      </x:c>
      <x:c r="F75" s="27" t="n">
        <x:v>0</x:v>
      </x:c>
      <x:c r="G75" s="10" t="str">
        <x:v>—</x:v>
      </x:c>
      <x:c r="H75" s="10" t="str">
        <x:v>없음</x:v>
      </x:c>
      <x:c r="I75" s="10" t="str">
        <x:v>CH06 S09</x:v>
      </x:c>
    </x:row>
    <x:row r="76" ht="39" customHeight="1">
      <x:c r="A76" s="11" t="str">
        <x:v>CH06 S09</x:v>
      </x:c>
      <x:c r="B76" s="11" t="str">
        <x:v>문 앞에서</x:v>
      </x:c>
      <x:c r="C76" s="11" t="str">
        <x:v>서사 장면</x:v>
      </x:c>
      <x:c r="D76" s="11" t="str">
        <x:v>이 씬은 인물의 감정과 다음 행동을 잇는다.</x:v>
      </x:c>
      <x:c r="E76" s="11" t="str">
        <x:v>기다림 없이 넘었던 동예의 경계와 달리, 문 앞에서 대답을 기다리는 손</x:v>
      </x:c>
      <x:c r="F76" s="28" t="n">
        <x:v>3</x:v>
      </x:c>
      <x:c r="G76" s="11" t="str">
        <x:v>—</x:v>
      </x:c>
      <x:c r="H76" s="11" t="str">
        <x:v>없음</x:v>
      </x:c>
      <x:c r="I76" s="11" t="str">
        <x:v>CH06 S10</x:v>
      </x:c>
    </x:row>
    <x:row r="77" ht="39" customHeight="1">
      <x:c r="A77" s="10" t="str">
        <x:v>CH06 S10</x:v>
      </x:c>
      <x:c r="B77" s="10" t="str">
        <x:v>마침내 만나다</x:v>
      </x:c>
      <x:c r="C77" s="10" t="str">
        <x:v>서사 장면</x:v>
      </x:c>
      <x:c r="D77" s="10" t="str">
        <x:v>이 씬은 인물의 감정과 다음 행동을 잇는다.</x:v>
      </x:c>
      <x:c r="E77" s="10" t="str">
        <x:v>라온의 살아 있는 손과 단이 아직 품고 있는 편지</x:v>
      </x:c>
      <x:c r="F77" s="27" t="n">
        <x:v>0</x:v>
      </x:c>
      <x:c r="G77" s="10" t="str">
        <x:v>—</x:v>
      </x:c>
      <x:c r="H77" s="10" t="str">
        <x:v>없음</x:v>
      </x:c>
      <x:c r="I77" s="10" t="str">
        <x:v>CH06 S11</x:v>
      </x:c>
    </x:row>
    <x:row r="78" ht="32.25" customHeight="1">
      <x:c r="A78" s="11" t="str">
        <x:v>CH06 S11</x:v>
      </x:c>
      <x:c r="B78" s="11" t="str">
        <x:v>형제의 갈등</x:v>
      </x:c>
      <x:c r="C78" s="11" t="str">
        <x:v>서사 장면</x:v>
      </x:c>
      <x:c r="D78" s="11" t="str">
        <x:v>이 씬은 인물의 감정과 다음 행동을 잇는다.</x:v>
      </x:c>
      <x:c r="E78" s="11" t="str">
        <x:v>미완성 연장 곁에 처음 펼쳐지는 편지</x:v>
      </x:c>
      <x:c r="F78" s="28" t="n">
        <x:v>3</x:v>
      </x:c>
      <x:c r="G78" s="11" t="str">
        <x:v>—</x:v>
      </x:c>
      <x:c r="H78" s="11" t="str">
        <x:v>없음</x:v>
      </x:c>
      <x:c r="I78" s="11" t="str">
        <x:v>CH06 S12</x:v>
      </x:c>
    </x:row>
    <x:row r="79" ht="39" customHeight="1">
      <x:c r="A79" s="10" t="str">
        <x:v>CH06 S12</x:v>
      </x:c>
      <x:c r="B79" s="10" t="str">
        <x:v>라온이 떠난 이유</x:v>
      </x:c>
      <x:c r="C79" s="10" t="str">
        <x:v>서사 장면</x:v>
      </x:c>
      <x:c r="D79" s="10" t="str">
        <x:v>이 씬은 인물의 감정과 다음 행동을 잇는다.</x:v>
      </x:c>
      <x:c r="E79" s="10" t="str">
        <x:v>감춘 편지의 문장, 피했다는 증언과 기다렸다는 증언의 합류</x:v>
      </x:c>
      <x:c r="F79" s="27" t="n">
        <x:v>0</x:v>
      </x:c>
      <x:c r="G79" s="10" t="str">
        <x:v>—</x:v>
      </x:c>
      <x:c r="H79" s="10" t="str">
        <x:v>없음</x:v>
      </x:c>
      <x:c r="I79" s="10" t="str">
        <x:v>CH06 S13</x:v>
      </x:c>
    </x:row>
    <x:row r="80" ht="39" customHeight="1">
      <x:c r="A80" s="11" t="str">
        <x:v>CH06 S13</x:v>
      </x:c>
      <x:c r="B80" s="11" t="str">
        <x:v>각자의 삶</x:v>
      </x:c>
      <x:c r="C80" s="11" t="str">
        <x:v>서사 장면</x:v>
      </x:c>
      <x:c r="D80" s="11" t="str">
        <x:v>이 씬은 인물의 감정과 다음 행동을 잇는다.</x:v>
      </x:c>
      <x:c r="E80" s="11" t="str">
        <x:v>소식을 재촉하는 명령 대신 라온이 먼저 보내겠다는 편지 약속</x:v>
      </x:c>
      <x:c r="F80" s="28" t="n">
        <x:v>0</x:v>
      </x:c>
      <x:c r="G80" s="11" t="str">
        <x:v>—</x:v>
      </x:c>
      <x:c r="H80" s="11" t="str">
        <x:v>없음</x:v>
      </x:c>
      <x:c r="I80" s="11" t="str">
        <x:v>CH06 S14</x:v>
      </x:c>
    </x:row>
    <x:row r="81" ht="39" customHeight="1">
      <x:c r="A81" s="10" t="str">
        <x:v>CH06 S14</x:v>
      </x:c>
      <x:c r="B81" s="10" t="str">
        <x:v>철을 가진 사람들</x:v>
      </x:c>
      <x:c r="C81" s="10" t="str">
        <x:v>SH-06</x:v>
      </x:c>
      <x:c r="D81" s="10" t="str">
        <x:v>변한 철 생산·교역을 라온의 기술과 농기구 제작에 연결해 회상한다. 창작 인물이 실제 역사 인물의 사례인 것은 아니다.</x:v>
      </x:c>
      <x:c r="E81" s="10" t="str">
        <x:v>실종의 단서였던 매듭을 다음 편지를 기다리는 표시로 바꾸는 장면</x:v>
      </x:c>
      <x:c r="F81" s="27" t="n">
        <x:v>0</x:v>
      </x:c>
      <x:c r="G81" s="10" t="str">
        <x:v>—</x:v>
      </x:c>
      <x:c r="H81" s="10" t="str">
        <x:v>없음</x:v>
      </x:c>
      <x:c r="I81" s="10" t="str">
        <x:v>CH07 S01</x:v>
      </x:c>
    </x:row>
    <x:row r="82" ht="39" customHeight="1">
      <x:c r="A82" s="11" t="str">
        <x:v>CH07 S01</x:v>
      </x:c>
      <x:c r="B82" s="11" t="str">
        <x:v>여행의 끝</x:v>
      </x:c>
      <x:c r="C82" s="11" t="str">
        <x:v>서사 장면</x:v>
      </x:c>
      <x:c r="D82" s="11" t="str">
        <x:v>이 씬은 인물의 감정과 다음 행동을 잇는다.</x:v>
      </x:c>
      <x:c r="E82" s="11" t="str">
        <x:v>꺼내 확인하던 매듭을 편안하게 넣어 두는 행동</x:v>
      </x:c>
      <x:c r="F82" s="28" t="n">
        <x:v>0</x:v>
      </x:c>
      <x:c r="G82" s="11" t="str">
        <x:v>—</x:v>
      </x:c>
      <x:c r="H82" s="11" t="str">
        <x:v>없음</x:v>
      </x:c>
      <x:c r="I82" s="11" t="str">
        <x:v>CH07 S02</x:v>
      </x:c>
    </x:row>
    <x:row r="83" ht="181.5" customHeight="1">
      <x:c r="A83" s="10" t="str">
        <x:v>CH07 S02</x:v>
      </x:c>
      <x:c r="B83" s="10" t="str">
        <x:v>부여와 고구려의 기억</x:v>
      </x:c>
      <x:c r="C83" s="10" t="str">
        <x:v>BU-03
GO-03
DY-04
GO-05</x:v>
      </x:c>
      <x:c r="D83" s="10" t="str">
        <x:v>부여 영고는 12월의 제천 행사로 학습한다. 작품에서는 겨울에 직접 겪었다.
고구려 동맹은 10월이며 현재 겨울 여행에서는 지난 행사 설명을 들었다.
동예 무천은 10월이며 현재 봄 여행에서는 지난 행사 설명을 들었다.
주몽을 동명성왕이라고 하며 부여에서 남하해 졸본에서 고구려를 세웠다는 전승을 학습한다. 설화의 세부를 동시대 현장 증명으로 바꾸지 않는다.</x:v>
      </x:c>
      <x:c r="E83" s="10" t="str">
        <x:v>발이 시렸던 영고와 이야기로 들은 동맹·무천의 구분</x:v>
      </x:c>
      <x:c r="F83" s="27" t="n">
        <x:v>0</x:v>
      </x:c>
      <x:c r="G83" s="10" t="str">
        <x:v>67회 심화 2번</x:v>
      </x:c>
      <x:c r="H83" s="34" t="str">
        <x:v>67회 심화 2번</x:v>
      </x:c>
      <x:c r="I83" s="10" t="str">
        <x:v>CH07 S03</x:v>
      </x:c>
    </x:row>
    <x:row r="84" ht="224.25" customHeight="1">
      <x:c r="A84" s="11" t="str">
        <x:v>CH07 S03</x:v>
      </x:c>
      <x:c r="B84" s="11" t="str">
        <x:v>바다와 경계의 기억</x:v>
      </x:c>
      <x:c r="C84" s="11" t="str">
        <x:v>OK-02
OK-03
OK-04
DY-02
DY-03
DY-05</x:v>
      </x:c>
      <x:c r="D84" s="11" t="str">
        <x:v>옥저 민며느리제와 고구려 서옥제의 이동 주체·방향을 구분한다.
옥저 가족 공동 무덤은 가매장 후 뼈를 모아 큰 목곽에 안치하는 풍습이다.
옥저 소금·어물 생산과 고구려에 대한 공납 관계를 기억한다.
책화는 다른 읍락의 생활 영역을 침범했을 때 배상하게 하는 풍습이다.
족외혼은 같은 씨족 안에서 혼인하지 않는 풍습으로 책화와 구별한다.
동예 특산물은 단궁·과하마·반어피이다.</x:v>
      </x:c>
      <x:c r="E84" s="11" t="str">
        <x:v>소금 짐과 큰 목곽, 경계 앞에서 멈춘 발, 세 가지 특산물</x:v>
      </x:c>
      <x:c r="F84" s="28" t="n">
        <x:v>0</x:v>
      </x:c>
      <x:c r="G84" s="11" t="str">
        <x:v>—</x:v>
      </x:c>
      <x:c r="H84" s="11" t="str">
        <x:v>없음</x:v>
      </x:c>
      <x:c r="I84" s="11" t="str">
        <x:v>CH07 S04</x:v>
      </x:c>
    </x:row>
    <x:row r="85" ht="281.25" customHeight="1">
      <x:c r="A85" s="10" t="str">
        <x:v>CH07 S04</x:v>
      </x:c>
      <x:c r="B85" s="10" t="str">
        <x:v>마지막 역사 시험</x:v>
      </x:c>
      <x:c r="C85" s="10" t="str">
        <x:v>BU-01
BU-02
GO-01
OK-01
DY-01
SH-02
SH-03
SH-04
SH-06</x:v>
      </x:c>
      <x:c r="D85" s="10" t="str">
        <x:v>부여의 왕·여러 가와 5부족 연맹의 구조를 회상한다.
마가·우가·저가·구가와 사출도를 연결하되 실제 도로·정확한 네 방위를 확정하지 않는다.
고구려 5부와 제가 회의의 유력자 협의를 연결한다.
옥저에는 왕이 없고 읍군·삼로 같은 군장이 있었다.
동예에는 왕이 없고 읍군·삼로 같은 군장이 있었다.
삼한 소국의 정치 지배자는 신지·읍차 등의 칭호를 사용했다.
천군은 사람, 소도는 신성 구역이며 정치·제사의 역할 구분을 제정 분리로 학습한다.
삼한의 계절제는 5월과 10월이다.
변한 철의 낙랑·왜 교역과 교환 수단으로서 쓰임을 기억한다.</x:v>
      </x:c>
      <x:c r="E85" s="10" t="str">
        <x:v>지역 이름마다 만난 얼굴과 물건을 겹쳐 놓는 마지막 여행 지도</x:v>
      </x:c>
      <x:c r="F85" s="27" t="n">
        <x:v>0</x:v>
      </x:c>
      <x:c r="G85" s="10" t="str">
        <x:v>57회 기본 2번
63회 심화 2번
79회 심화 2번</x:v>
      </x:c>
      <x:c r="H85" s="34" t="str">
        <x:v>57회 기본 2번
63회 심화 2번
79회 심화 2번</x:v>
      </x:c>
      <x:c r="I85" s="10" t="str">
        <x:v>CH07 S05</x:v>
      </x:c>
    </x:row>
    <x:row r="86" ht="39" customHeight="1">
      <x:c r="A86" s="11" t="str">
        <x:v>CH07 S05</x:v>
      </x:c>
      <x:c r="B86" s="11" t="str">
        <x:v>돌아갈 길</x:v>
      </x:c>
      <x:c r="C86" s="11" t="str">
        <x:v>서사 장면</x:v>
      </x:c>
      <x:c r="D86" s="11" t="str">
        <x:v>이 씬은 인물의 감정과 다음 행동을 잇는다.</x:v>
      </x:c>
      <x:c r="E86" s="11" t="str">
        <x:v>답이 정해지지 않은 갈림길 앞에 차분히 서 있는 두 사람</x:v>
      </x:c>
      <x:c r="F86" s="28" t="n">
        <x:v>0</x:v>
      </x:c>
      <x:c r="G86" s="11" t="str">
        <x:v>—</x:v>
      </x:c>
      <x:c r="H86" s="11" t="str">
        <x:v>없음</x:v>
      </x:c>
      <x:c r="I86" s="11" t="str">
        <x:v>CH07 S06</x:v>
      </x:c>
    </x:row>
    <x:row r="87" ht="39" customHeight="1">
      <x:c r="A87" s="10" t="str">
        <x:v>CH07 S06</x:v>
      </x:c>
      <x:c r="B87" s="10" t="str">
        <x:v>마지막 부탁</x:v>
      </x:c>
      <x:c r="C87" s="10" t="str">
        <x:v>서사 장면</x:v>
      </x:c>
      <x:c r="D87" s="10" t="str">
        <x:v>이 씬은 인물의 감정과 다음 행동을 잇는다.</x:v>
      </x:c>
      <x:c r="E87" s="10" t="str">
        <x:v>첫날의 모닥불에서 한 위로를 마지막에 서로에게 돌려주는 말</x:v>
      </x:c>
      <x:c r="F87" s="27" t="n">
        <x:v>0</x:v>
      </x:c>
      <x:c r="G87" s="10" t="str">
        <x:v>—</x:v>
      </x:c>
      <x:c r="H87" s="10" t="str">
        <x:v>없음</x:v>
      </x:c>
      <x:c r="I87" s="10" t="str">
        <x:v>CH07 S07</x:v>
      </x:c>
    </x:row>
    <x:row r="88" ht="39" customHeight="1">
      <x:c r="A88" s="11" t="str">
        <x:v>CH07 S07</x:v>
      </x:c>
      <x:c r="B88" s="11" t="str">
        <x:v>마지막 선택</x:v>
      </x:c>
      <x:c r="C88" s="11" t="str">
        <x:v>서사 장면</x:v>
      </x:c>
      <x:c r="D88" s="11" t="str">
        <x:v>이 씬은 인물의 감정과 다음 행동을 잇는다.</x:v>
      </x:c>
      <x:c r="E88" s="11" t="str">
        <x:v>첫 만남의 “나”라는 이름 농담을 마지막 인사에서 가볍게 회수</x:v>
      </x:c>
      <x:c r="F88" s="28" t="n">
        <x:v>3</x:v>
      </x:c>
      <x:c r="G88" s="11" t="str">
        <x:v>—</x:v>
      </x:c>
      <x:c r="H88" s="11" t="str">
        <x:v>없음</x:v>
      </x:c>
      <x:c r="I88" s="11" t="str">
        <x:v>CH07 S08</x:v>
      </x:c>
    </x:row>
    <x:row r="89" ht="39" customHeight="1">
      <x:c r="A89" s="23" t="str">
        <x:v>CH07 S08</x:v>
      </x:c>
      <x:c r="B89" s="23" t="str">
        <x:v>에필로그</x:v>
      </x:c>
      <x:c r="C89" s="23" t="str">
        <x:v>서사 장면</x:v>
      </x:c>
      <x:c r="D89" s="23" t="str">
        <x:v>이 씬은 인물의 감정과 다음 행동을 잇는다.</x:v>
      </x:c>
      <x:c r="E89" s="23" t="str">
        <x:v>지역 이름을 부르면 따라오는 불·바다·철 소리와 멀리서 주고받는 마지막 농담</x:v>
      </x:c>
      <x:c r="F89" s="29" t="n">
        <x:v>0</x:v>
      </x:c>
      <x:c r="G89" s="23" t="str">
        <x:v>—</x:v>
      </x:c>
      <x:c r="H89" s="23" t="str">
        <x:v>없음</x:v>
      </x:c>
      <x:c r="I89" s="23" t="str">
        <x:v>종료</x:v>
      </x:c>
    </x:row>
  </x:sheetData>
  <x:pageMargins left="0.7" right="0.7" top="0.75" bottom="0.75" header="0.3" footer="0.3"/>
  <x:tableParts count="1">
    <x:tablePart xmlns:r="http://schemas.openxmlformats.org/officeDocument/2006/relationships" r:id="R367c91ca2fa64051"/>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889999866485596" hidden="0" customWidth="1"/>
    <x:col min="2" max="2" width="15.5600004196167" hidden="0" customWidth="1"/>
    <x:col min="3" max="3" width="16.110000610351562" hidden="0" customWidth="1"/>
    <x:col min="4" max="4" width="45" hidden="0" customWidth="1"/>
    <x:col min="5" max="5" width="17.219999313354492" hidden="0" customWidth="1"/>
    <x:col min="6" max="6" width="40" hidden="0" customWidth="1"/>
    <x:col min="7" max="7" width="36.66999816894531" hidden="0" customWidth="1"/>
    <x:col min="8" max="8" width="38.88999938964844" hidden="0" customWidth="1"/>
  </x:cols>
  <x:sheetData>
    <x:row r="1" ht="9" customHeight="1">
      <x:c r="A1" s="2"/>
      <x:c r="B1" s="2"/>
      <x:c r="C1" s="2"/>
      <x:c r="D1" s="2"/>
      <x:c r="E1" s="2"/>
      <x:c r="F1" s="2"/>
      <x:c r="G1" s="2"/>
      <x:c r="H1" s="2"/>
    </x:row>
    <x:row r="2" ht="22.5" customHeight="1">
      <x:c r="A2" s="4" t="str">
        <x:v>원삼국 · 실제 기출 23문항 출제 순서</x:v>
      </x:c>
      <x:c r="B2" s="5"/>
      <x:c r="C2" s="5"/>
      <x:c r="D2" s="5"/>
      <x:c r="E2" s="5"/>
      <x:c r="F2" s="5"/>
      <x:c r="G2" s="5"/>
      <x:c r="H2" s="5"/>
    </x:row>
    <x:row r="3" ht="18" customHeight="1">
      <x:c r="A3" s="7" t="str">
        <x:v>11개 지점에서 최대 3문항씩 · 각 행의 마지막 공통 대사와 선행 씬을 모두 읽은 뒤 엽니다. 재회와 마지막 작별에는 강제 문제가 없습니다.</x:v>
      </x:c>
      <x:c r="B3" s="2"/>
      <x:c r="C3" s="2"/>
      <x:c r="D3" s="2"/>
      <x:c r="E3" s="2"/>
      <x:c r="F3" s="2"/>
      <x:c r="G3" s="2"/>
      <x:c r="H3" s="2"/>
    </x:row>
    <x:row r="4" ht="18" customHeight="1">
      <x:c r="A4" s="2"/>
      <x:c r="B4" s="2"/>
      <x:c r="C4" s="2"/>
      <x:c r="D4" s="2"/>
      <x:c r="E4" s="2"/>
      <x:c r="F4" s="2"/>
      <x:c r="G4" s="2"/>
      <x:c r="H4" s="2"/>
    </x:row>
    <x:row r="5" ht="6.75" customHeight="1">
      <x:c r="A5" s="2"/>
      <x:c r="B5" s="2"/>
      <x:c r="C5" s="2"/>
      <x:c r="D5" s="2"/>
      <x:c r="E5" s="2"/>
      <x:c r="F5" s="2"/>
      <x:c r="G5" s="2"/>
      <x:c r="H5" s="2"/>
    </x:row>
    <x:row r="6" ht="28.5" customHeight="1">
      <x:c r="A6" s="20" t="str">
        <x:v>순서</x:v>
      </x:c>
      <x:c r="B6" s="21" t="str">
        <x:v>출제 뒤 씬</x:v>
      </x:c>
      <x:c r="C6" s="21" t="str">
        <x:v>공식 기출</x:v>
      </x:c>
      <x:c r="D6" s="21" t="str">
        <x:v>문제를 여는 마지막 공통 대사</x:v>
      </x:c>
      <x:c r="E6" s="21" t="str">
        <x:v>필수로 읽을 씬</x:v>
      </x:c>
      <x:c r="F6" s="21" t="str">
        <x:v>현재 플레이 해설</x:v>
      </x:c>
      <x:c r="G6" s="21" t="str">
        <x:v>기존 위치와 변경 이유</x:v>
      </x:c>
      <x:c r="H6" s="22" t="str">
        <x:v>아직 배우지 않은 보기의 해설</x:v>
      </x:c>
    </x:row>
    <x:row r="7" ht="53.25" customHeight="1">
      <x:c r="A7" s="27" t="n">
        <x:v>1</x:v>
      </x:c>
      <x:c r="B7" s="10" t="str">
        <x:v>CH02 S03</x:v>
      </x:c>
      <x:c r="C7" s="10" t="str">
        <x:v>60회 심화 2번</x:v>
      </x:c>
      <x:c r="D7" s="10" t="str">
        <x:v>단: 서두르는 동안 내 말만 하고 있었다는 걸 이제 알겠군.
proto_ch02_s3_J03</x:v>
      </x:c>
      <x:c r="E7" s="10" t="str">
        <x:v>CH01 S06
CH02 S02
CH02 S03</x:v>
      </x:c>
      <x:c r="F7" s="10" t="str">
        <x:v>송화강 유역이라는 단서로 부여를 알 수 있다. 부여의 여러 가는 각각 사출도를 다스렸다.</x:v>
      </x:c>
      <x:c r="G7" s="10" t="str">
        <x:v>기존 위치 유지</x:v>
      </x:c>
      <x:c r="H7" s="10" t="str">
        <x:v>원삼국 비교: CH06 S07 이후
다른 시대 전용 제도·인물까지 자동 해설하지 않는다. 별도의 명시적 독립 학습에서 다룬다.</x:v>
      </x:c>
    </x:row>
    <x:row r="8" ht="53.25" customHeight="1">
      <x:c r="A8" s="28" t="n">
        <x:v>2</x:v>
      </x:c>
      <x:c r="B8" s="11" t="str">
        <x:v>CH02 S03</x:v>
      </x:c>
      <x:c r="C8" s="11" t="str">
        <x:v>62회 심화 2번</x:v>
      </x:c>
      <x:c r="D8" s="11" t="str">
        <x:v>단: 서두르는 동안 내 말만 하고 있었다는 걸 이제 알겠군.
proto_ch02_s3_J03</x:v>
      </x:c>
      <x:c r="E8" s="11" t="str">
        <x:v>CH01 S06
CH02 S02
CH02 S03</x:v>
      </x:c>
      <x:c r="F8" s="11" t="str">
        <x:v>송화강 유역은 부여의 단서이다. 부여의 여러 가는 왕이 직접 다스리는 중앙 밖의 지역인 사출도를 맡아 다스렸다.</x:v>
      </x:c>
      <x:c r="G8" s="11" t="str">
        <x:v>기존 위치 유지</x:v>
      </x:c>
      <x:c r="H8" s="11" t="str">
        <x:v>원삼국 비교: CH06 S07 이후
다른 시대 전용 제도·인물까지 자동 해설하지 않는다. 별도의 명시적 독립 학습에서 다룬다.</x:v>
      </x:c>
    </x:row>
    <x:row r="9" ht="53.25" customHeight="1">
      <x:c r="A9" s="27" t="n">
        <x:v>3</x:v>
      </x:c>
      <x:c r="B9" s="10" t="str">
        <x:v>CH02 S06</x:v>
      </x:c>
      <x:c r="C9" s="10" t="str">
        <x:v>64회 심화 2번</x:v>
      </x:c>
      <x:c r="D9" s="10" t="str">
        <x:v>나레이션: 단이 매듭을 무릎 위에 놓았다. 아린의 시선이 천 조각에 오래 머물렀다.
proto_ch02_s6_J03</x:v>
      </x:c>
      <x:c r="E9" s="10" t="str">
        <x:v>CH02 S02
CH02 S04</x:v>
      </x:c>
      <x:c r="F9" s="10" t="str">
        <x:v>가축 이름을 딴 여러 가와 왕의 관계는 부여의 단서이다. 부여의 제천 행사는 영고이다.</x:v>
      </x:c>
      <x:c r="G9" s="10" t="str">
        <x:v>기존 위치 유지</x:v>
      </x:c>
      <x:c r="H9" s="10" t="str">
        <x:v>원삼국 비교: CH06 S07 이후
다른 시대 전용 제도·인물까지 자동 해설하지 않는다. 별도의 명시적 독립 학습에서 다룬다.</x:v>
      </x:c>
    </x:row>
    <x:row r="10" ht="53.25" customHeight="1">
      <x:c r="A10" s="28" t="n">
        <x:v>4</x:v>
      </x:c>
      <x:c r="B10" s="11" t="str">
        <x:v>CH02 S06</x:v>
      </x:c>
      <x:c r="C10" s="11" t="str">
        <x:v>66회 기본 2번</x:v>
      </x:c>
      <x:c r="D10" s="11" t="str">
        <x:v>나레이션: 단이 매듭을 무릎 위에 놓았다. 아린의 시선이 천 조각에 오래 머물렀다.
proto_ch02_s6_J03</x:v>
      </x:c>
      <x:c r="E10" s="11" t="str">
        <x:v>CH02 S02
CH02 S03
CH02 S04</x:v>
      </x:c>
      <x:c r="F10" s="11" t="str">
        <x:v>여러 가가 사출도를 다스린 나라는 부여이다. 부여는 영고라는 제천 행사를 열었다.</x:v>
      </x:c>
      <x:c r="G10" s="11" t="str">
        <x:v>기존 위치 유지</x:v>
      </x:c>
      <x:c r="H10" s="11" t="str">
        <x:v>원삼국 비교: CH06 S07 이후
다른 시대 전용 제도·인물까지 자동 해설하지 않는다. 별도의 명시적 독립 학습에서 다룬다.</x:v>
      </x:c>
    </x:row>
    <x:row r="11" ht="67.5" customHeight="1">
      <x:c r="A11" s="27" t="n">
        <x:v>5</x:v>
      </x:c>
      <x:c r="B11" s="10" t="str">
        <x:v>CH02 S11</x:v>
      </x:c>
      <x:c r="C11" s="10" t="str">
        <x:v>61회 기본 3번</x:v>
      </x:c>
      <x:c r="D11" s="10" t="str">
        <x:v>주인공: 맞아. 이름 붙이는 건 내가 할게. 길 나서는 건 같이 하자.
proto_ch02_s11_M12</x:v>
      </x:c>
      <x:c r="E11" s="10" t="str">
        <x:v>CH01 S06
CH02 S02
CH02 S03
CH02 S04</x:v>
      </x:c>
      <x:c r="F11" s="10" t="str">
        <x:v>송화강 유역, 12월 영고, 사출도는 모두 부여를 가리킨다.</x:v>
      </x:c>
      <x:c r="G11" s="10" t="str">
        <x:v>기존 위치 유지</x:v>
      </x:c>
      <x:c r="H11" s="10" t="str">
        <x:v>원삼국 비교: CH06 S07 이후
다른 시대 전용 제도·인물까지 자동 해설하지 않는다. 별도의 명시적 독립 학습에서 다룬다.</x:v>
      </x:c>
    </x:row>
    <x:row r="12" ht="53.25" customHeight="1">
      <x:c r="A12" s="28" t="n">
        <x:v>6</x:v>
      </x:c>
      <x:c r="B12" s="11" t="str">
        <x:v>CH02 S11</x:v>
      </x:c>
      <x:c r="C12" s="11" t="str">
        <x:v>68회 심화 3번</x:v>
      </x:c>
      <x:c r="D12" s="11" t="str">
        <x:v>주인공: 맞아. 이름 붙이는 건 내가 할게. 길 나서는 건 같이 하자.
proto_ch02_s11_M12</x:v>
      </x:c>
      <x:c r="E12" s="11" t="str">
        <x:v>CH02 S02
CH02 S03
CH02 S04</x:v>
      </x:c>
      <x:c r="F12" s="11" t="str">
        <x:v>영고를 열었던 부여에서는 여러 가가 각각 사출도를 주관했다. 은력 정월이라는 표현을 현대 양력 1월로 옮기지 않는다.</x:v>
      </x:c>
      <x:c r="G12" s="11" t="str">
        <x:v>기존 위치 유지</x:v>
      </x:c>
      <x:c r="H12" s="11" t="str">
        <x:v>원삼국 비교: CH06 S07 이후
다른 시대 전용 제도·인물까지 자동 해설하지 않는다. 별도의 명시적 독립 학습에서 다룬다.</x:v>
      </x:c>
    </x:row>
    <x:row r="13" ht="53.25" customHeight="1">
      <x:c r="A13" s="27" t="n">
        <x:v>7</x:v>
      </x:c>
      <x:c r="B13" s="10" t="str">
        <x:v>CH02 S11</x:v>
      </x:c>
      <x:c r="C13" s="10" t="str">
        <x:v>73회 기본 2번</x:v>
      </x:c>
      <x:c r="D13" s="10" t="str">
        <x:v>주인공: 맞아. 이름 붙이는 건 내가 할게. 길 나서는 건 같이 하자.
proto_ch02_s11_M12</x:v>
      </x:c>
      <x:c r="E13" s="10" t="str">
        <x:v>CH02 S02
CH02 S03
CH02 S04</x:v>
      </x:c>
      <x:c r="F13" s="10" t="str">
        <x:v>마가·우가와 사출도라는 단서로 부여임을 알 수 있다. 부여의 제천 행사는 영고이다.</x:v>
      </x:c>
      <x:c r="G13" s="10" t="str">
        <x:v>기존 위치 유지</x:v>
      </x:c>
      <x:c r="H13" s="10" t="str">
        <x:v>원삼국 비교: CH06 S07 이후
다른 시대 전용 제도·인물까지 자동 해설하지 않는다. 별도의 명시적 독립 학습에서 다룬다.</x:v>
      </x:c>
    </x:row>
    <x:row r="14" ht="53.25" customHeight="1">
      <x:c r="A14" s="28" t="n">
        <x:v>8</x:v>
      </x:c>
      <x:c r="B14" s="11" t="str">
        <x:v>CH03 S14</x:v>
      </x:c>
      <x:c r="C14" s="11" t="str">
        <x:v>76회 심화 2번</x:v>
      </x:c>
      <x:c r="D14" s="11" t="str">
        <x:v>나레이션: 산성은 등 뒤로 멀어졌다. 두 사람은 여러 숙영지를 거쳐 바다가 있는 땅으로 향했다.
proto_ch03_s14_M13</x:v>
      </x:c>
      <x:c r="E14" s="11" t="str">
        <x:v>CH03 S09
CH03 S10
CH03 S11</x:v>
      </x:c>
      <x:c r="F14" s="11" t="str">
        <x:v>계루부·5부와 서옥이라는 단서는 고구려를 가리킨다. 고구려는 10월에 동맹을 열었다.</x:v>
      </x:c>
      <x:c r="G14" s="11" t="str">
        <x:v>기존 위치 유지</x:v>
      </x:c>
      <x:c r="H14" s="11" t="str">
        <x:v>원삼국 비교: CH06 S07 이후
다른 시대 전용 제도·인물까지 자동 해설하지 않는다. 별도의 명시적 독립 학습에서 다룬다.</x:v>
      </x:c>
    </x:row>
    <x:row r="15" ht="53.25" customHeight="1">
      <x:c r="A15" s="27" t="n">
        <x:v>9</x:v>
      </x:c>
      <x:c r="B15" s="10" t="str">
        <x:v>CH04 S05</x:v>
      </x:c>
      <x:c r="C15" s="10" t="str">
        <x:v>66회 심화 2번</x:v>
      </x:c>
      <x:c r="D15" s="10" t="str">
        <x:v>나레이션: 두 사람은 무덤에 손대지 않고 돌아섰다. 돌아가는 길에서 단이 먼저 소하에게 라온의 이야기를 부탁했다.
proto_ch04_s5_M13</x:v>
      </x:c>
      <x:c r="E15" s="10" t="str">
        <x:v>CH04 S03
CH04 S04
CH04 S05</x:v>
      </x:c>
      <x:c r="F15" s="10" t="str">
        <x:v>가족의 뼈를 큰 나무 곽에 모으는 풍습과 삼로는 옥저의 단서이다. 옥저에는 민며느리제가 있었다.</x:v>
      </x:c>
      <x:c r="G15" s="10" t="str">
        <x:v>기존 위치 유지</x:v>
      </x:c>
      <x:c r="H15" s="10" t="str">
        <x:v>원삼국 비교: CH06 S07 이후
다른 시대 전용 제도·인물까지 자동 해설하지 않는다. 별도의 명시적 독립 학습에서 다룬다.</x:v>
      </x:c>
    </x:row>
    <x:row r="16" ht="53.25" customHeight="1">
      <x:c r="A16" s="28" t="n">
        <x:v>10</x:v>
      </x:c>
      <x:c r="B16" s="11" t="str">
        <x:v>CH04 S05</x:v>
      </x:c>
      <x:c r="C16" s="11" t="str">
        <x:v>67회 기본 2번</x:v>
      </x:c>
      <x:c r="D16" s="11" t="str">
        <x:v>나레이션: 두 사람은 무덤에 손대지 않고 돌아섰다. 돌아가는 길에서 단이 먼저 소하에게 라온의 이야기를 부탁했다.
proto_ch04_s5_M13</x:v>
      </x:c>
      <x:c r="E16" s="11" t="str">
        <x:v>CH04 S03
CH04 S04
CH04 S05</x:v>
      </x:c>
      <x:c r="F16" s="11" t="str">
        <x:v>동해안에서 성장했고, 어린 여자아이를 데려와 기르는 민며느리제가 있으며, 왕 없이 읍군·삼로가 다스린 나라는 옥저이다.</x:v>
      </x:c>
      <x:c r="G16" s="11" t="str">
        <x:v>기존 위치 유지</x:v>
      </x:c>
      <x:c r="H16" s="11" t="str">
        <x:v>원삼국 비교: CH06 S07 이후
다른 시대 전용 제도·인물까지 자동 해설하지 않는다. 별도의 명시적 독립 학습에서 다룬다.</x:v>
      </x:c>
    </x:row>
    <x:row r="17" ht="53.25" customHeight="1">
      <x:c r="A17" s="27" t="n">
        <x:v>11</x:v>
      </x:c>
      <x:c r="B17" s="10" t="str">
        <x:v>CH05 S06</x:v>
      </x:c>
      <x:c r="C17" s="10" t="str">
        <x:v>57회 심화 3번</x:v>
      </x:c>
      <x:c r="D17" s="10" t="str">
        <x:v>나레이션: 빈터를 떠나며 나는 그 말을 작게 한 번 더 굴렸다. 이번에는 외운 이름마다 사람들의 얼굴이 따라왔다.
proto_ch05_s6_M13</x:v>
      </x:c>
      <x:c r="E17" s="10" t="str">
        <x:v>CH03 S10
CH03 S11
CH05 S06</x:v>
      </x:c>
      <x:c r="F17" s="10" t="str">
        <x:v>(가)는 상가·대로 등의 관직과 동맹이 나타나는 고구려이다. 신랑이 신부 집의 서옥에 머무는 서옥제는 고구려의 풍습이다. (나)의 무천은 동예의 단서이다.</x:v>
      </x:c>
      <x:c r="G17" s="10" t="str">
        <x:v>CH03 S11 → CH05 S06
고구려 서옥제와 동예 무천을 모두 배운 뒤 두 사료를 비교한다.</x:v>
      </x:c>
      <x:c r="H17" s="10" t="str">
        <x:v>원삼국 비교: CH06 S07 이후
다른 시대 전용 제도·인물까지 자동 해설하지 않는다. 별도의 명시적 독립 학습에서 다룬다.</x:v>
      </x:c>
    </x:row>
    <x:row r="18" ht="81.75" customHeight="1">
      <x:c r="A18" s="28" t="n">
        <x:v>12</x:v>
      </x:c>
      <x:c r="B18" s="11" t="str">
        <x:v>CH05 S07</x:v>
      </x:c>
      <x:c r="C18" s="11" t="str">
        <x:v>64회 기본 2번</x:v>
      </x:c>
      <x:c r="D18" s="11" t="str">
        <x:v>단: 길을 묻고 가겠소. 이번에는 짧아 보인다고 먼저 들어서지 않겠소.
proto_ch05_s7_M13</x:v>
      </x:c>
      <x:c r="E18" s="11" t="str">
        <x:v>CH05 S04
CH05 S02
CH05 S05
CH05 S06
CH05 S07</x:v>
      </x:c>
      <x:c r="F18" s="11" t="str">
        <x:v>책화·족외혼·무천과 단궁·과하마·반어피가 함께 제시되므로 동예이다.</x:v>
      </x:c>
      <x:c r="G18" s="11" t="str">
        <x:v>CH01 S06 → CH05 S07
동예의 사회·행사·특산물을 모두 경험한 뒤 식별한다.</x:v>
      </x:c>
      <x:c r="H18" s="11" t="str">
        <x:v>원삼국 비교: CH06 S07 이후
다른 시대 전용 제도·인물까지 자동 해설하지 않는다. 별도의 명시적 독립 학습에서 다룬다.</x:v>
      </x:c>
    </x:row>
    <x:row r="19" ht="53.25" customHeight="1">
      <x:c r="A19" s="27" t="n">
        <x:v>13</x:v>
      </x:c>
      <x:c r="B19" s="10" t="str">
        <x:v>CH05 S07</x:v>
      </x:c>
      <x:c r="C19" s="10" t="str">
        <x:v>70회 심화 2번</x:v>
      </x:c>
      <x:c r="D19" s="10" t="str">
        <x:v>단: 길을 묻고 가겠소. 이번에는 짧아 보인다고 먼저 들어서지 않겠소.
proto_ch05_s7_M13</x:v>
      </x:c>
      <x:c r="E19" s="10" t="str">
        <x:v>CH02 S02
CH05 S06
CH05 S07</x:v>
      </x:c>
      <x:c r="F19" s="10" t="str">
        <x:v>(가)의 단궁·과하마·반어피는 동예의 특산물이다. 동예에서는 10월에 무천을 열었다. 비교표의 철 교역 항목을 (가)의 정답 근거로 바꾸지 않는다.</x:v>
      </x:c>
      <x:c r="G19" s="10" t="str">
        <x:v>CH01 S09 → CH05 S07
동예 특산물과 무천을 배운 뒤 푼다. 철 교역은 정답이 아닌 비교 단서다.</x:v>
      </x:c>
      <x:c r="H19" s="10" t="str">
        <x:v>원삼국 비교: CH06 S07 이후
다른 시대 전용 제도·인물까지 자동 해설하지 않는다. 별도의 명시적 독립 학습에서 다룬다.</x:v>
      </x:c>
    </x:row>
    <x:row r="20" ht="53.25" customHeight="1">
      <x:c r="A20" s="28" t="n">
        <x:v>14</x:v>
      </x:c>
      <x:c r="B20" s="11" t="str">
        <x:v>CH05 S07</x:v>
      </x:c>
      <x:c r="C20" s="11" t="str">
        <x:v>77회 심화 3번</x:v>
      </x:c>
      <x:c r="D20" s="11" t="str">
        <x:v>단: 길을 묻고 가겠소. 이번에는 짧아 보인다고 먼저 들어서지 않겠소.
proto_ch05_s7_M13</x:v>
      </x:c>
      <x:c r="E20" s="11" t="str">
        <x:v>CH05 S02
CH05 S06
CH05 S07</x:v>
      </x:c>
      <x:c r="F20" s="11" t="str">
        <x:v>단궁·과하마·반어피와 10월 무천은 동예의 단서이다. 동예의 책화가 어떤 사회적 의미를 갖는지 조사하는 활동이 알맞다.</x:v>
      </x:c>
      <x:c r="G20" s="11" t="str">
        <x:v>CH05 S05 → CH05 S07
문제에 실린 동예 특산물과 무천을 본문에서 먼저 배운다.</x:v>
      </x:c>
      <x:c r="H20" s="11" t="str">
        <x:v>원삼국 비교: CH06 S07 이후
다른 시대 전용 제도·인물까지 자동 해설하지 않는다. 별도의 명시적 독립 학습에서 다룬다.</x:v>
      </x:c>
    </x:row>
    <x:row r="21" ht="81.75" customHeight="1">
      <x:c r="A21" s="27" t="n">
        <x:v>15</x:v>
      </x:c>
      <x:c r="B21" s="10" t="str">
        <x:v>CH06 S06</x:v>
      </x:c>
      <x:c r="C21" s="10" t="str">
        <x:v>73회 심화 4번</x:v>
      </x:c>
      <x:c r="D21" s="10" t="str">
        <x:v>단: ……만나겠다고 했소? 알겠소. 기다리겠소.
proto_ch06_s6_M13</x:v>
      </x:c>
      <x:c r="E21" s="10" t="str">
        <x:v>CH04 S03
CH04 S05
CH06 S02
CH06 S03
CH06 S06</x:v>
      </x:c>
      <x:c r="F21" s="10" t="str">
        <x:v>(가)는 옥저의 소금·어물과 가족 공동 무덤, (나)는 삼한의 신지·읍차가 나타난 자료이다. 신성 지역 소도는 (나) 삼한의 특징이다.</x:v>
      </x:c>
      <x:c r="G21" s="10" t="str">
        <x:v>CH04 S05 → CH06 S06
정답인 삼한 소도를 배운 뒤 옥저의 가족 무덤·생산물과 비교한다.</x:v>
      </x:c>
      <x:c r="H21" s="10" t="str">
        <x:v>원삼국 비교: CH06 S07 이후
다른 시대 전용 제도·인물까지 자동 해설하지 않는다. 별도의 명시적 독립 학습에서 다룬다.</x:v>
      </x:c>
    </x:row>
    <x:row r="22" ht="53.25" customHeight="1">
      <x:c r="A22" s="28" t="n">
        <x:v>16</x:v>
      </x:c>
      <x:c r="B22" s="11" t="str">
        <x:v>CH06 S06</x:v>
      </x:c>
      <x:c r="C22" s="11" t="str">
        <x:v>61회 심화 2번</x:v>
      </x:c>
      <x:c r="D22" s="11" t="str">
        <x:v>단: ……만나겠다고 했소? 알겠소. 기다리겠소.
proto_ch06_s6_M13</x:v>
      </x:c>
      <x:c r="E22" s="11" t="str">
        <x:v>CH06 S02
CH06 S03
CH06 S06</x:v>
      </x:c>
      <x:c r="F22" s="11" t="str">
        <x:v>신지·읍차가 다스리는 여러 소국이라는 단서가 삼한을 가리킨다. 삼한에는 신성 지역인 소도가 있었다.</x:v>
      </x:c>
      <x:c r="G22" s="11" t="str">
        <x:v>CH06 S04 → CH06 S06
신지 읍차·소도 학습 후 출제한다. 5·10월까지의 전체 설명은 다음 씬 뒤 열린다.</x:v>
      </x:c>
      <x:c r="H22" s="11" t="str">
        <x:v>원삼국 비교: CH06 S07 이후
다른 시대 전용 제도·인물까지 자동 해설하지 않는다. 별도의 명시적 독립 학습에서 다룬다.</x:v>
      </x:c>
    </x:row>
    <x:row r="23" ht="67.5" customHeight="1">
      <x:c r="A23" s="27" t="n">
        <x:v>17</x:v>
      </x:c>
      <x:c r="B23" s="10" t="str">
        <x:v>CH06 S06</x:v>
      </x:c>
      <x:c r="C23" s="10" t="str">
        <x:v>77회 기본 2번</x:v>
      </x:c>
      <x:c r="D23" s="10" t="str">
        <x:v>단: ……만나겠다고 했소? 알겠소. 기다리겠소.
proto_ch06_s6_M13</x:v>
      </x:c>
      <x:c r="E23" s="10" t="str">
        <x:v>CH01 S06
CH06 S02
CH06 S03
CH06 S06</x:v>
      </x:c>
      <x:c r="F23" s="10" t="str">
        <x:v>천군·소도와 신지·읍차는 삼한의 특징이다. 지도에서 한반도 남부의 (라)를 고른다.</x:v>
      </x:c>
      <x:c r="G23" s="10" t="str">
        <x:v>CH06 S04 → CH06 S06
천군·소도 학습 후 지도 위치와 연결한다.</x:v>
      </x:c>
      <x:c r="H23" s="10" t="str">
        <x:v>원삼국 비교: CH06 S07 이후
다른 시대 전용 제도·인물까지 자동 해설하지 않는다. 별도의 명시적 독립 학습에서 다룬다.</x:v>
      </x:c>
    </x:row>
    <x:row r="24" ht="96" customHeight="1">
      <x:c r="A24" s="28" t="n">
        <x:v>18</x:v>
      </x:c>
      <x:c r="B24" s="11" t="str">
        <x:v>CH06 S07</x:v>
      </x:c>
      <x:c r="C24" s="11" t="str">
        <x:v>69회 심화 3번</x:v>
      </x:c>
      <x:c r="D24" s="11" t="str">
        <x:v>비류: 망치 소리가 멎었군. 이제 작업장으로 가세.
proto_ch06_s7_M13</x:v>
      </x:c>
      <x:c r="E24" s="11" t="str">
        <x:v>CH05 S02
CH05 S04
CH05 S06
CH06 S03
CH06 S06
CH06 S07</x:v>
      </x:c>
      <x:c r="F24" s="11" t="str">
        <x:v>(가)는 10월 무천이 나타나는 동예, (나)는 천군과 농경 제사가 나타나는 삼한이다. ㄴ 동예의 책화와 ㄷ 삼한의 신지·읍차가 모두 옳다.</x:v>
      </x:c>
      <x:c r="G24" s="11" t="str">
        <x:v>CH05 S05 → CH06 S07
동예 책화와 삼한 신지 읍차·천군·계절제를 모두 배운 뒤 푼다.</x:v>
      </x:c>
      <x:c r="H24" s="11" t="str">
        <x:v>원삼국 비교: CH06 S07 이후
다른 시대 전용 제도·인물까지 자동 해설하지 않는다. 별도의 명시적 독립 학습에서 다룬다.</x:v>
      </x:c>
    </x:row>
    <x:row r="25" ht="53.25" customHeight="1">
      <x:c r="A25" s="27" t="n">
        <x:v>19</x:v>
      </x:c>
      <x:c r="B25" s="10" t="str">
        <x:v>CH06 S07</x:v>
      </x:c>
      <x:c r="C25" s="10" t="str">
        <x:v>78회 심화 3번</x:v>
      </x:c>
      <x:c r="D25" s="10" t="str">
        <x:v>비류: 망치 소리가 멎었군. 이제 작업장으로 가세.
proto_ch06_s7_M13</x:v>
      </x:c>
      <x:c r="E25" s="10" t="str">
        <x:v>CH02 S04
CH06 S06
CH06 S07</x:v>
      </x:c>
      <x:c r="F25" s="10" t="str">
        <x:v>(가)는 천군과 5월 제사가 나타나는 삼한, (나)는 영고가 나타나는 부여이다. 소도는 (가) 삼한의 특징이다.</x:v>
      </x:c>
      <x:c r="G25" s="10" t="str">
        <x:v>기존 위치 유지</x:v>
      </x:c>
      <x:c r="H25" s="10" t="str">
        <x:v>원삼국 비교: CH06 S07 이후
다른 시대 전용 제도·인물까지 자동 해설하지 않는다. 별도의 명시적 독립 학습에서 다룬다.</x:v>
      </x:c>
    </x:row>
    <x:row r="26" ht="67.5" customHeight="1">
      <x:c r="A26" s="28" t="n">
        <x:v>20</x:v>
      </x:c>
      <x:c r="B26" s="11" t="str">
        <x:v>CH07 S02</x:v>
      </x:c>
      <x:c r="C26" s="11" t="str">
        <x:v>67회 심화 2번</x:v>
      </x:c>
      <x:c r="D26" s="11" t="str">
        <x:v>주인공: 지금 다시 들으면 또 다른 데서 마음이 멈출 것 같아.
proto_ch07_s2_M12</x:v>
      </x:c>
      <x:c r="E26" s="11" t="str">
        <x:v>CH02 S04
CH03 S11
CH05 S06
CH06 S07</x:v>
      </x:c>
      <x:c r="F26" s="11" t="str">
        <x:v>고구려의 동맹은 10월, 삼한의 제천 행사는 5월과 10월이므로 ㄴ과 ㄹ이 옳다. 부여 영고는 12월, 동예 무천은 10월이다.</x:v>
      </x:c>
      <x:c r="G26" s="11" t="str">
        <x:v>기존 위치 유지</x:v>
      </x:c>
      <x:c r="H26" s="11" t="str">
        <x:v>원삼국 비교: CH07 S02 이후
다른 시대 전용 제도·인물까지 자동 해설하지 않는다. 별도의 명시적 독립 학습에서 다룬다.</x:v>
      </x:c>
    </x:row>
    <x:row r="27" ht="53.25" customHeight="1">
      <x:c r="A27" s="27" t="n">
        <x:v>21</x:v>
      </x:c>
      <x:c r="B27" s="10" t="str">
        <x:v>CH07 S04</x:v>
      </x:c>
      <x:c r="C27" s="10" t="str">
        <x:v>57회 기본 2번</x:v>
      </x:c>
      <x:c r="D27" s="10" t="str">
        <x:v>주인공: 응. 마지막으로 기억을 확인하고 일어날게.
proto_ch07_s4_M12</x:v>
      </x:c>
      <x:c r="E27" s="10" t="str">
        <x:v>CH05 S02
CH05 S06
CH05 S07</x:v>
      </x:c>
      <x:c r="F27" s="10" t="str">
        <x:v>무천과 책화가 나타나는 나라는 동예이다. 만화에는 동예의 특산물인 단궁·과하마·반어피를 그리는 것이 알맞다.</x:v>
      </x:c>
      <x:c r="G27" s="10" t="str">
        <x:v>기존 위치 유지</x:v>
      </x:c>
      <x:c r="H27" s="10" t="str">
        <x:v>원삼국 비교: CH07 S04 이후
다른 시대 전용 제도·인물까지 자동 해설하지 않는다. 별도의 명시적 독립 학습에서 다룬다.</x:v>
      </x:c>
    </x:row>
    <x:row r="28" ht="67.5" customHeight="1">
      <x:c r="A28" s="28" t="n">
        <x:v>22</x:v>
      </x:c>
      <x:c r="B28" s="11" t="str">
        <x:v>CH07 S04</x:v>
      </x:c>
      <x:c r="C28" s="11" t="str">
        <x:v>63회 심화 2번</x:v>
      </x:c>
      <x:c r="D28" s="11" t="str">
        <x:v>주인공: 응. 마지막으로 기억을 확인하고 일어날게.
proto_ch07_s4_M12</x:v>
      </x:c>
      <x:c r="E28" s="11" t="str">
        <x:v>CH05 S04
CH05 S02
CH05 S06
CH05 S07</x:v>
      </x:c>
      <x:c r="F28" s="11" t="str">
        <x:v>읍군·삼로, 책화, 단궁·과하마·반어피를 연결하면 동예이다. 동예의 제천 행사 무천을 탐구한다.</x:v>
      </x:c>
      <x:c r="G28" s="11" t="str">
        <x:v>기존 위치 유지</x:v>
      </x:c>
      <x:c r="H28" s="11" t="str">
        <x:v>원삼국 비교: CH07 S04 이후
다른 시대 전용 제도·인물까지 자동 해설하지 않는다. 별도의 명시적 독립 학습에서 다룬다.</x:v>
      </x:c>
    </x:row>
    <x:row r="29" ht="81.75" customHeight="1">
      <x:c r="A29" s="29" t="n">
        <x:v>23</x:v>
      </x:c>
      <x:c r="B29" s="23" t="str">
        <x:v>CH07 S04</x:v>
      </x:c>
      <x:c r="C29" s="23" t="str">
        <x:v>79회 심화 2번</x:v>
      </x:c>
      <x:c r="D29" s="23" t="str">
        <x:v>주인공: 응. 마지막으로 기억을 확인하고 일어날게.
proto_ch07_s4_M12</x:v>
      </x:c>
      <x:c r="E29" s="23" t="str">
        <x:v>CH02 S04
CH02 S06
CH05 S02
CH05 S05
CH05 S07</x:v>
      </x:c>
      <x:c r="F29" s="23" t="str">
        <x:v>(가)는 영고와 형사취수 풍습이 나타나는 부여, (나)는 책화와 족외혼이 나타나는 동예이다. (나)의 특산물은 단궁·과하마·반어피이다.</x:v>
      </x:c>
      <x:c r="G29" s="23" t="str">
        <x:v>기존 위치 유지</x:v>
      </x:c>
      <x:c r="H29" s="23" t="str">
        <x:v>원삼국 비교: CH07 S04 이후
다른 시대 전용 제도·인물까지 자동 해설하지 않는다. 별도의 명시적 독립 학습에서 다룬다.</x:v>
      </x:c>
    </x:row>
  </x:sheetData>
  <x:pageMargins left="0.7" right="0.7" top="0.75" bottom="0.75" header="0.3" footer="0.3"/>
  <x:tableParts count="1">
    <x:tablePart xmlns:r="http://schemas.openxmlformats.org/officeDocument/2006/relationships" r:id="R59a00dd943444b1a"/>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6.110000610351562" hidden="0" customWidth="1"/>
    <x:col min="2" max="2" width="16.110000610351562" hidden="0" customWidth="1"/>
    <x:col min="3" max="3" width="10.220000267028809" hidden="0" customWidth="1"/>
    <x:col min="4" max="4" width="7.78000020980835" hidden="0" customWidth="1"/>
    <x:col min="5" max="5" width="35" hidden="0" customWidth="1"/>
    <x:col min="6" max="6" width="36.66999816894531" hidden="0" customWidth="1"/>
    <x:col min="7" max="7" width="36.66999816894531" hidden="0" customWidth="1"/>
    <x:col min="8" max="8" width="43.88999938964844" hidden="0" customWidth="1"/>
    <x:col min="9" max="9" width="40.560001373291016" hidden="0" customWidth="1"/>
  </x:cols>
  <x:sheetData>
    <x:row r="1" ht="9" customHeight="1">
      <x:c r="A1" s="2"/>
      <x:c r="B1" s="2"/>
      <x:c r="C1" s="2"/>
      <x:c r="D1" s="2"/>
      <x:c r="E1" s="2"/>
      <x:c r="F1" s="2"/>
      <x:c r="G1" s="2"/>
      <x:c r="H1" s="2"/>
      <x:c r="I1" s="2"/>
    </x:row>
    <x:row r="2" ht="22.5" customHeight="1">
      <x:c r="A2" s="4" t="str">
        <x:v>원삼국 · 공식 문항과 정답 근거</x:v>
      </x:c>
      <x:c r="B2" s="5"/>
      <x:c r="C2" s="5"/>
      <x:c r="D2" s="5"/>
      <x:c r="E2" s="5"/>
      <x:c r="F2" s="5"/>
      <x:c r="G2" s="5"/>
      <x:c r="H2" s="5"/>
      <x:c r="I2" s="5"/>
    </x:row>
    <x:row r="3" ht="18" customHeight="1">
      <x:c r="A3" s="7" t="str">
        <x:v>제작용 정답 원장 · 기본 4지 / 심화 5지. 공식 정답 근거 23건 확인. 원문 crop이 잘린 71회 심화 2번은 제외했습니다.</x:v>
      </x:c>
      <x:c r="B3" s="2"/>
      <x:c r="C3" s="2"/>
      <x:c r="D3" s="2"/>
      <x:c r="E3" s="2"/>
      <x:c r="F3" s="2"/>
      <x:c r="G3" s="2"/>
      <x:c r="H3" s="2"/>
      <x:c r="I3" s="2"/>
    </x:row>
    <x:row r="4" ht="18" customHeight="1">
      <x:c r="A4" s="2"/>
      <x:c r="B4" s="2"/>
      <x:c r="C4" s="2"/>
      <x:c r="D4" s="2"/>
      <x:c r="E4" s="2"/>
      <x:c r="F4" s="2"/>
      <x:c r="G4" s="2"/>
      <x:c r="H4" s="2"/>
      <x:c r="I4" s="2"/>
    </x:row>
    <x:row r="5" ht="6.75" customHeight="1">
      <x:c r="A5" s="2"/>
      <x:c r="B5" s="2"/>
      <x:c r="C5" s="2"/>
      <x:c r="D5" s="2"/>
      <x:c r="E5" s="2"/>
      <x:c r="F5" s="2"/>
      <x:c r="G5" s="2"/>
      <x:c r="H5" s="2"/>
      <x:c r="I5" s="2"/>
    </x:row>
    <x:row r="6" ht="28.5" customHeight="1">
      <x:c r="A6" s="20" t="str">
        <x:v>공식 문항 ID</x:v>
      </x:c>
      <x:c r="B6" s="21" t="str">
        <x:v>회차·등급·번호</x:v>
      </x:c>
      <x:c r="C6" s="21" t="str">
        <x:v>정답 번호 (1 기반)</x:v>
      </x:c>
      <x:c r="D6" s="21" t="str">
        <x:v>보기 수</x:v>
      </x:c>
      <x:c r="E6" s="21" t="str">
        <x:v>정답 판단에 쓰는 개념</x:v>
      </x:c>
      <x:c r="F6" s="21" t="str">
        <x:v>저장소 원문 이미지</x:v>
      </x:c>
      <x:c r="G6" s="21" t="str">
        <x:v>공식 자료 페이지</x:v>
      </x:c>
      <x:c r="H6" s="21" t="str">
        <x:v>원문·정답 다운로드와 해시</x:v>
      </x:c>
      <x:c r="I6" s="22" t="str">
        <x:v>검토 범위</x:v>
      </x:c>
    </x:row>
    <x:row r="7" ht="138.75" customHeight="1">
      <x:c r="A7" s="10" t="str">
        <x:v>official-60-advanced-02</x:v>
      </x:c>
      <x:c r="B7" s="10" t="str">
        <x:v>60회 심화 2번</x:v>
      </x:c>
      <x:c r="C7" s="27" t="n">
        <x:v>3</x:v>
      </x:c>
      <x:c r="D7" s="27" t="n">
        <x:v>5</x:v>
      </x:c>
      <x:c r="E7" s="10" t="str">
        <x:v>송화강·영고·형사취수 단서에서 부여의 지배 구조 연결</x:v>
      </x:c>
      <x:c r="F7" s="35" t="str">
        <x:v>https://raw.githubusercontent.com/tjdus7911-ops/history/e27f008038d722934eee63070aac4e006c7d7bd9/dist/assets/exams/catalog/60-advanced-02.webp</x:v>
      </x:c>
      <x:c r="G7" s="35" t="str">
        <x:v>https://www.historyexam.go.kr/pst/view.do?bbs=dat&amp;pst_sno=1000029888</x:v>
      </x:c>
      <x:c r="H7" s="35" t="str">
        <x:v>https://www.historyexam.go.kr/atchFile/FileDown.do?atch_file_id=B_202208061208035700
SHA-256 a9307f7307d88b7179e55c1750a79788328110d81c2e5b21e7209376ddeeb71d
https://www.historyexam.go.kr/atchFile/FileDown.do?atch_file_id=B_202208061209131581
SHA-256 4a00db57bd3f78f1d46bd5ec07fa812d27d586c4dcb7e7b3e66a6785c936534a</x:v>
      </x:c>
      <x:c r="I7" s="10" t="str">
        <x:v>이번 검토: 공식 정답 PDF 직접 확인
원문 이미지의 지문·보기 확인
이 건의 공식 정답 PDF에서 해당 문항 번호와 정답을 이번 턴 직접 판독했다. 전체 문제 PDF 재대조와 구분한다.</x:v>
      </x:c>
    </x:row>
    <x:row r="8" ht="138.75" customHeight="1">
      <x:c r="A8" s="11" t="str">
        <x:v>official-62-advanced-02</x:v>
      </x:c>
      <x:c r="B8" s="11" t="str">
        <x:v>62회 심화 2번</x:v>
      </x:c>
      <x:c r="C8" s="28" t="n">
        <x:v>2</x:v>
      </x:c>
      <x:c r="D8" s="28" t="n">
        <x:v>5</x:v>
      </x:c>
      <x:c r="E8" s="11" t="str">
        <x:v>송화강·12월 영고·생산물·혼인 단서에서 사출도 연결</x:v>
      </x:c>
      <x:c r="F8" s="36" t="str">
        <x:v>https://raw.githubusercontent.com/tjdus7911-ops/history/e27f008038d722934eee63070aac4e006c7d7bd9/dist/assets/exams/catalog/62-advanced-02.webp</x:v>
      </x:c>
      <x:c r="G8" s="36" t="str">
        <x:v>https://www.historyexam.go.kr/pst/view.do?bbs=dat&amp;pst_sno=1000029925</x:v>
      </x:c>
      <x:c r="H8" s="36" t="str">
        <x:v>https://www.historyexam.go.kr/atchFile/FileDown.do?atch_file_id=B_202212030114524850
SHA-256 ecae832581e2ebcacc51df30800c1495175e14f4c67902363dd49c74c207e963
https://www.historyexam.go.kr/atchFile/FileDown.do?atch_file_id=B_202212030114526171
SHA-256 0a22ea4bf355384e4d1c734ab1018ca24861c585db4b04cca94e2391adca70b8</x:v>
      </x:c>
      <x:c r="I8" s="11" t="str">
        <x:v>이번 검토: 공식 정답 PDF 직접 확인
원문 이미지의 지문·보기 확인
이 건의 공식 정답 PDF에서 해당 문항 번호와 정답을 이번 턴 직접 판독했다. 전체 문제 PDF 재대조와 구분한다.</x:v>
      </x:c>
    </x:row>
    <x:row r="9" ht="138.75" customHeight="1">
      <x:c r="A9" s="10" t="str">
        <x:v>official-64-advanced-02</x:v>
      </x:c>
      <x:c r="B9" s="10" t="str">
        <x:v>64회 심화 2번</x:v>
      </x:c>
      <x:c r="C9" s="27" t="n">
        <x:v>1</x:v>
      </x:c>
      <x:c r="D9" s="27" t="n">
        <x:v>5</x:v>
      </x:c>
      <x:c r="E9" s="10" t="str">
        <x:v>흉작의 왕 책임·가축 이름 관직·읍락 지배 단서</x:v>
      </x:c>
      <x:c r="F9" s="35" t="str">
        <x:v>https://raw.githubusercontent.com/tjdus7911-ops/history/e27f008038d722934eee63070aac4e006c7d7bd9/dist/assets/exams/catalog/64-advanced-02.webp</x:v>
      </x:c>
      <x:c r="G9" s="35" t="str">
        <x:v>https://www.historyexam.go.kr/pst/view.do?bbs=dat&amp;pst_sno=1000029951</x:v>
      </x:c>
      <x:c r="H9" s="35" t="str">
        <x:v>https://www.historyexam.go.kr/atchFile/FileDown.do?atch_file_id=B_202304150208567920
SHA-256 483dbf4e35c9888d6d36cbd0495db34c506ef06f2b1f64f31c3931b2f07332a0
https://www.historyexam.go.kr/atchFile/FileDown.do?atch_file_id=B_202304150208571061
SHA-256 ea6742c2dec57e129b87ebba734a73e4527126390a84ed2923ed0a24d67d3280</x:v>
      </x:c>
      <x:c r="I9" s="10" t="str">
        <x:v>앞선 검토: 공식 문제·정답 PDF 확인
원문 이미지의 지문·보기 확인
기존 9건의 원문·정답표 확인 기록을 보존했다. 이 건의 PDF를 이번 턴 다시 검증했다고 표시하지 않았다.</x:v>
      </x:c>
    </x:row>
    <x:row r="10" ht="138.75" customHeight="1">
      <x:c r="A10" s="11" t="str">
        <x:v>official-66-basic-02</x:v>
      </x:c>
      <x:c r="B10" s="11" t="str">
        <x:v>66회 기본 2번</x:v>
      </x:c>
      <x:c r="C10" s="28" t="n">
        <x:v>1</x:v>
      </x:c>
      <x:c r="D10" s="28" t="n">
        <x:v>4</x:v>
      </x:c>
      <x:c r="E10" s="11" t="str">
        <x:v>사출도와 금제 허리띠 장식의 나라를 식별</x:v>
      </x:c>
      <x:c r="F10" s="36" t="str">
        <x:v>https://raw.githubusercontent.com/tjdus7911-ops/history/e27f008038d722934eee63070aac4e006c7d7bd9/dist/assets/exams/catalog/66-basic-02.webp</x:v>
      </x:c>
      <x:c r="G10" s="36" t="str">
        <x:v>https://www.historyexam.go.kr/pst/view.do?bbs=dat&amp;pst_sno=1000029965</x:v>
      </x:c>
      <x:c r="H10" s="36" t="str">
        <x:v>https://www.historyexam.go.kr/atchFile/FileDown.do?atch_file_id=B_202308131156480550
SHA-256 f2967d08be978858d992e320b17950f24bf99081ce4ee52c4096a6e0a8534273
https://www.historyexam.go.kr/atchFile/FileDown.do?atch_file_id=B_202308131156482451
SHA-256 7721b72feded01b258976a1cff49ae1906dae4e766b1d245c9c9fc4b191f5d81</x:v>
      </x:c>
      <x:c r="I10" s="11" t="str">
        <x:v>이번 검토: 공식 정답 PDF 직접 확인
원문 이미지의 지문·보기 확인
이 건의 공식 정답 PDF에서 해당 문항 번호와 정답을 이번 턴 직접 판독했다. 전체 문제 PDF 재대조와 구분한다.</x:v>
      </x:c>
    </x:row>
    <x:row r="11" ht="138.75" customHeight="1">
      <x:c r="A11" s="10" t="str">
        <x:v>official-61-basic-03</x:v>
      </x:c>
      <x:c r="B11" s="10" t="str">
        <x:v>61회 기본 3번</x:v>
      </x:c>
      <x:c r="C11" s="27" t="n">
        <x:v>3</x:v>
      </x:c>
      <x:c r="D11" s="27" t="n">
        <x:v>4</x:v>
      </x:c>
      <x:c r="E11" s="10" t="str">
        <x:v>송화강·12월 영고·사출도 단계별 단서의 나라</x:v>
      </x:c>
      <x:c r="F11" s="35" t="str">
        <x:v>https://raw.githubusercontent.com/tjdus7911-ops/history/e27f008038d722934eee63070aac4e006c7d7bd9/dist/assets/exams/catalog/61-basic-03.webp</x:v>
      </x:c>
      <x:c r="G11" s="35" t="str">
        <x:v>https://www.historyexam.go.kr/pst/view.do?bbs=dat&amp;pst_sno=1000029915</x:v>
      </x:c>
      <x:c r="H11" s="35" t="str">
        <x:v>https://www.historyexam.go.kr/atchFile/FileDown.do?atch_file_id=B_202210221239043790
SHA-256 a842aefec6ec1df41b7364d326db8b8842f1af80d38152792a9fd63d5f726201
https://www.historyexam.go.kr/atchFile/FileDown.do?atch_file_id=B_202210221239044541
SHA-256 1add4a61b7c173dc3c7e2e0bca040a58e24666cd61d7fdb4be78da6190791b47</x:v>
      </x:c>
      <x:c r="I11" s="10" t="str">
        <x:v>이번 검토: 공식 정답 PDF 직접 확인
원문 이미지의 지문·보기 확인
이 건의 공식 정답 PDF에서 해당 문항 번호와 정답을 이번 턴 직접 판독했다. 전체 문제 PDF 재대조와 구분한다.</x:v>
      </x:c>
    </x:row>
    <x:row r="12" ht="138.75" customHeight="1">
      <x:c r="A12" s="11" t="str">
        <x:v>official-68-advanced-03</x:v>
      </x:c>
      <x:c r="B12" s="11" t="str">
        <x:v>68회 심화 3번</x:v>
      </x:c>
      <x:c r="C12" s="28" t="n">
        <x:v>3</x:v>
      </x:c>
      <x:c r="D12" s="28" t="n">
        <x:v>5</x:v>
      </x:c>
      <x:c r="E12" s="11" t="str">
        <x:v>넓은 평야·은력 정월 영고 사료의 나라</x:v>
      </x:c>
      <x:c r="F12" s="36" t="str">
        <x:v>https://raw.githubusercontent.com/tjdus7911-ops/history/e27f008038d722934eee63070aac4e006c7d7bd9/dist/assets/exams/catalog/68-advanced-03.webp</x:v>
      </x:c>
      <x:c r="G12" s="36" t="str">
        <x:v>https://www.historyexam.go.kr/pst/view.do?bbs=dat&amp;pst_sno=1000029984</x:v>
      </x:c>
      <x:c r="H12" s="36" t="str">
        <x:v>https://www.historyexam.go.kr/atchFile/FileDown.do?atch_file_id=B_202312021231272410
SHA-256 a407b26f559eeeed787b1e2d2e99f96532c9e7673372efd82aa0bd8362864fa9
https://www.historyexam.go.kr/atchFile/FileDown.do?atch_file_id=B_202312021231274741
SHA-256 37f0db72ac12ecf607fb8e954a08f9283b5dcb41ce5631edbebe996f02d07d75</x:v>
      </x:c>
      <x:c r="I12" s="11" t="str">
        <x:v>앞선 검토: 공식 문제·정답 PDF 확인
원문 이미지의 지문·보기 확인
기존 9건의 원문·정답표 확인 기록을 보존했다. 이 건의 PDF를 이번 턴 다시 검증했다고 표시하지 않았다.</x:v>
      </x:c>
    </x:row>
    <x:row r="13" ht="138.75" customHeight="1">
      <x:c r="A13" s="10" t="str">
        <x:v>official-73-basic-02</x:v>
      </x:c>
      <x:c r="B13" s="10" t="str">
        <x:v>73회 기본 2번</x:v>
      </x:c>
      <x:c r="C13" s="27" t="n">
        <x:v>1</x:v>
      </x:c>
      <x:c r="D13" s="27" t="n">
        <x:v>4</x:v>
      </x:c>
      <x:c r="E13" s="10" t="str">
        <x:v>지린 출토 수레 부품·명마·마가 우가·사출도 단서</x:v>
      </x:c>
      <x:c r="F13" s="35" t="str">
        <x:v>https://raw.githubusercontent.com/tjdus7911-ops/history/e27f008038d722934eee63070aac4e006c7d7bd9/dist/assets/exams/catalog/73-basic-02.webp</x:v>
      </x:c>
      <x:c r="G13" s="35" t="str">
        <x:v>https://www.historyexam.go.kr/pst/view.do?bbs=dat&amp;pst_sno=1000030051</x:v>
      </x:c>
      <x:c r="H13" s="35" t="str">
        <x:v>https://www.historyexam.go.kr/atchFile/FileDown.do?atch_file_id=B_202502161146105380
SHA-256 f7298700bf31c5a423de5de5d4fe433d68ff0a945c8b872097e9b6673f3f4e7d
https://www.historyexam.go.kr/atchFile/FileDown.do?atch_file_id=B_202502161146106921
SHA-256 a70ecf88728e4423f6cb880f27f469caba38a3a61a8ce97082a4610aec40ec4f</x:v>
      </x:c>
      <x:c r="I13" s="10" t="str">
        <x:v>이번 검토: 공식 정답 PDF 직접 확인
원문 이미지의 지문·보기 확인
이 건의 공식 정답 PDF에서 해당 문항 번호와 정답을 이번 턴 직접 판독했다. 전체 문제 PDF 재대조와 구분한다.</x:v>
      </x:c>
    </x:row>
    <x:row r="14" ht="138.75" customHeight="1">
      <x:c r="A14" s="11" t="str">
        <x:v>official-76-advanced-02</x:v>
      </x:c>
      <x:c r="B14" s="11" t="str">
        <x:v>76회 심화 2번</x:v>
      </x:c>
      <x:c r="C14" s="28" t="n">
        <x:v>2</x:v>
      </x:c>
      <x:c r="D14" s="28" t="n">
        <x:v>5</x:v>
      </x:c>
      <x:c r="E14" s="11" t="str">
        <x:v>5부·계루부·상가 대로 패자·서옥의 검색 결과</x:v>
      </x:c>
      <x:c r="F14" s="36" t="str">
        <x:v>https://raw.githubusercontent.com/tjdus7911-ops/history/e27f008038d722934eee63070aac4e006c7d7bd9/dist/assets/exams/catalog/76-advanced-02.webp</x:v>
      </x:c>
      <x:c r="G14" s="36" t="str">
        <x:v>https://www.historyexam.go.kr/pst/view.do?bbs=dat&amp;pst_sno=1000030098</x:v>
      </x:c>
      <x:c r="H14" s="36" t="str">
        <x:v>https://www.historyexam.go.kr/atchFile/FileDown.do?atch_file_id=B_202510180138534030
SHA-256 b25c8617eb817711a54e69c09040298bf1b102f59fe29aebaad3558981e834f3
https://www.historyexam.go.kr/atchFile/FileDown.do?atch_file_id=B_202510180138535251
SHA-256 9da8824061aa649e0c1246edc70bf86cb29273cbe24eabf11b636123d3c9e98b</x:v>
      </x:c>
      <x:c r="I14" s="11" t="str">
        <x:v>앞선 검토: 공식 문제·정답 PDF 확인
원문 이미지의 지문·보기 확인
기존 9건의 원문·정답표 확인 기록을 보존했다. 이 건의 PDF를 이번 턴 다시 검증했다고 표시하지 않았다.</x:v>
      </x:c>
    </x:row>
    <x:row r="15" ht="138.75" customHeight="1">
      <x:c r="A15" s="10" t="str">
        <x:v>official-66-advanced-02</x:v>
      </x:c>
      <x:c r="B15" s="10" t="str">
        <x:v>66회 심화 2번</x:v>
      </x:c>
      <x:c r="C15" s="27" t="n">
        <x:v>2</x:v>
      </x:c>
      <x:c r="D15" s="27" t="n">
        <x:v>5</x:v>
      </x:c>
      <x:c r="E15" s="10" t="str">
        <x:v>삼로와 가족 목곽, 가매장 후 뼈를 추리는 사료</x:v>
      </x:c>
      <x:c r="F15" s="35" t="str">
        <x:v>https://raw.githubusercontent.com/tjdus7911-ops/history/e27f008038d722934eee63070aac4e006c7d7bd9/dist/assets/exams/catalog/66-advanced-02.webp</x:v>
      </x:c>
      <x:c r="G15" s="35" t="str">
        <x:v>https://www.historyexam.go.kr/pst/view.do?bbs=dat&amp;pst_sno=1000029966</x:v>
      </x:c>
      <x:c r="H15" s="35" t="str">
        <x:v>https://www.historyexam.go.kr/atchFile/FileDown.do?atch_file_id=B_202308131157406580
SHA-256 d00670a2b083d47b66d6e5ff1ad32c1765f493bd9d98230065c2edaefcaa8d18
https://www.historyexam.go.kr/atchFile/FileDown.do?atch_file_id=B_202308131157407821
SHA-256 591619732675e6f2655bbea597e42e08280c500a74265b98acacaa882da5a839</x:v>
      </x:c>
      <x:c r="I15" s="10" t="str">
        <x:v>앞선 검토: 공식 문제·정답 PDF 확인
원문 이미지의 지문·보기 확인
기존 9건의 원문·정답표 확인 기록을 보존했다. 이 건의 PDF를 이번 턴 다시 검증했다고 표시하지 않았다.</x:v>
      </x:c>
    </x:row>
    <x:row r="16" ht="124.5" customHeight="1">
      <x:c r="A16" s="11" t="str">
        <x:v>official-67-basic-02</x:v>
      </x:c>
      <x:c r="B16" s="11" t="str">
        <x:v>67회 기본 2번</x:v>
      </x:c>
      <x:c r="C16" s="28" t="n">
        <x:v>2</x:v>
      </x:c>
      <x:c r="D16" s="28" t="n">
        <x:v>4</x:v>
      </x:c>
      <x:c r="E16" s="11" t="str">
        <x:v>동해안·민며느리·왕 없음·읍군 삼로 단계별 단서</x:v>
      </x:c>
      <x:c r="F16" s="36" t="str">
        <x:v>https://raw.githubusercontent.com/tjdus7911-ops/history/e27f008038d722934eee63070aac4e006c7d7bd9/dist/assets/exams/catalog/67-basic-02.webp</x:v>
      </x:c>
      <x:c r="G16" s="36" t="str">
        <x:v>https://www.historyexam.go.kr/pst/view.do?bbs=dat&amp;pst_sno=1000029979</x:v>
      </x:c>
      <x:c r="H16" s="36" t="str">
        <x:v>https://www.historyexam.go.kr/atchFile/FileDown.do?atch_file_id=B_202310211224416310
SHA-256 null
https://www.historyexam.go.kr/atchFile/FileDown.do?atch_file_id=B_202310211224416911
SHA-256 baedd11e1b5365c8c56a3c77a7a6013afbd8035fa6322e9cac51cd6d0d719ed6</x:v>
      </x:c>
      <x:c r="I16" s="11" t="str">
        <x:v>이번 검토: 공식 정답 PDF 직접 확인
원문 이미지의 지문·보기 확인
이 건의 공식 정답 PDF에서 해당 문항 번호와 정답을 이번 턴 직접 판독했다. 전체 문제 PDF 재대조와 구분한다.</x:v>
      </x:c>
    </x:row>
    <x:row r="17" ht="138.75" customHeight="1">
      <x:c r="A17" s="10" t="str">
        <x:v>official-57-advanced-03</x:v>
      </x:c>
      <x:c r="B17" s="10" t="str">
        <x:v>57회 심화 3번</x:v>
      </x:c>
      <x:c r="C17" s="27" t="n">
        <x:v>2</x:v>
      </x:c>
      <x:c r="D17" s="27" t="n">
        <x:v>5</x:v>
      </x:c>
      <x:c r="E17" s="10" t="str">
        <x:v>(가) 고구려 관직·동맹, (나) 동예 무천을 비교</x:v>
      </x:c>
      <x:c r="F17" s="35" t="str">
        <x:v>https://raw.githubusercontent.com/tjdus7911-ops/history/e27f008038d722934eee63070aac4e006c7d7bd9/dist/assets/exams/catalog/57-advanced-03.webp</x:v>
      </x:c>
      <x:c r="G17" s="35" t="str">
        <x:v>https://www.historyexam.go.kr/pst/view.do?bbs=dat&amp;pst_sno=1000029845</x:v>
      </x:c>
      <x:c r="H17" s="35" t="str">
        <x:v>https://www.historyexam.go.kr/atchFile/FileDown.do?atch_file_id=B_202202121210460170
SHA-256 3a69a598abb12338aa6b006e7d314f8e802d8b4711628d74726315125a273234
https://www.historyexam.go.kr/atchFile/FileDown.do?atch_file_id=B_202606151210497381
SHA-256 c3b6ec8ed0c8cf403debeb3a6675871d7fef1293b189ca394e04224c69fc8b70</x:v>
      </x:c>
      <x:c r="I17" s="10" t="str">
        <x:v>이번 검토: 공식 정답 PDF 직접 확인
원문 이미지의 지문·보기 확인
이 건의 공식 정답 PDF에서 해당 문항 번호와 정답을 이번 턴 직접 판독했다. 전체 문제 PDF 재대조와 구분한다.</x:v>
      </x:c>
    </x:row>
    <x:row r="18" ht="138.75" customHeight="1">
      <x:c r="A18" s="11" t="str">
        <x:v>official-64-basic-02</x:v>
      </x:c>
      <x:c r="B18" s="11" t="str">
        <x:v>64회 기본 2번</x:v>
      </x:c>
      <x:c r="C18" s="28" t="n">
        <x:v>1</x:v>
      </x:c>
      <x:c r="D18" s="28" t="n">
        <x:v>4</x:v>
      </x:c>
      <x:c r="E18" s="11" t="str">
        <x:v>읍군·삼로, 무천, 책화·족외혼, 특산물의 생각그물에서 나라 식별</x:v>
      </x:c>
      <x:c r="F18" s="36" t="str">
        <x:v>https://raw.githubusercontent.com/tjdus7911-ops/history/e27f008038d722934eee63070aac4e006c7d7bd9/dist/assets/exams/catalog/64-basic-02.webp</x:v>
      </x:c>
      <x:c r="G18" s="36" t="str">
        <x:v>https://www.historyexam.go.kr/pst/view.do?bbs=dat&amp;pst_sno=1000029950</x:v>
      </x:c>
      <x:c r="H18" s="36" t="str">
        <x:v>https://www.historyexam.go.kr/atchFile/FileDown.do?atch_file_id=B_202304150202393920
SHA-256 8005db89f14801b7950a98b21264c0eaf67fb6824b1a4f1d9d513f19ae9415cc
https://www.historyexam.go.kr/atchFile/FileDown.do?atch_file_id=B_202304150202398471
SHA-256 5f9900b4dd232418fdde9be8d0bb7e96e0c31cc2c29f56966dec2e5bee794153</x:v>
      </x:c>
      <x:c r="I18" s="11" t="str">
        <x:v>이번 검토: 공식 정답 PDF 직접 확인
원문 이미지의 지문·보기 확인
이 건의 공식 정답 PDF에서 해당 문항 번호와 정답을 이번 턴 직접 판독했다. 전체 문제 PDF 재대조와 구분한다.</x:v>
      </x:c>
    </x:row>
    <x:row r="19" ht="138.75" customHeight="1">
      <x:c r="A19" s="10" t="str">
        <x:v>official-70-advanced-02</x:v>
      </x:c>
      <x:c r="B19" s="10" t="str">
        <x:v>70회 심화 2번</x:v>
      </x:c>
      <x:c r="C19" s="27" t="n">
        <x:v>3</x:v>
      </x:c>
      <x:c r="D19" s="27" t="n">
        <x:v>5</x:v>
      </x:c>
      <x:c r="E19" s="10" t="str">
        <x:v>경제 비교표의 (가)는 동예; 삼한 철 교역은 비교 단서</x:v>
      </x:c>
      <x:c r="F19" s="35" t="str">
        <x:v>https://raw.githubusercontent.com/tjdus7911-ops/history/e27f008038d722934eee63070aac4e006c7d7bd9/dist/assets/exams/catalog/70-advanced-02.webp</x:v>
      </x:c>
      <x:c r="G19" s="35" t="str">
        <x:v>https://www.historyexam.go.kr/pst/view.do?bbs=dat&amp;pst_sno=1000030012</x:v>
      </x:c>
      <x:c r="H19" s="35" t="str">
        <x:v>https://www.historyexam.go.kr/atchFile/FileDown.do?atch_file_id=B_202405251204104430
SHA-256 4e9195f278bfdb5223cef43d60ff3bb1d55f09e4db0af803476392b08acc978c
https://www.historyexam.go.kr/atchFile/FileDown.do?atch_file_id=B_202405251205112771
SHA-256 06b1ae9f5e8a33b8b9cd5c3f5d3c4d0acd6049e31a4a4b45a38658c574a252c1</x:v>
      </x:c>
      <x:c r="I19" s="10" t="str">
        <x:v>앞선 검토: 공식 문제·정답 PDF 확인
원문 이미지의 지문·보기 확인
기존 9건의 원문·정답표 확인 기록을 보존했다. 이 건의 PDF를 이번 턴 다시 검증했다고 표시하지 않았다.</x:v>
      </x:c>
    </x:row>
    <x:row r="20" ht="138.75" customHeight="1">
      <x:c r="A20" s="11" t="str">
        <x:v>official-77-advanced-03</x:v>
      </x:c>
      <x:c r="B20" s="11" t="str">
        <x:v>77회 심화 3번</x:v>
      </x:c>
      <x:c r="C20" s="28" t="n">
        <x:v>2</x:v>
      </x:c>
      <x:c r="D20" s="28" t="n">
        <x:v>5</x:v>
      </x:c>
      <x:c r="E20" s="11" t="str">
        <x:v>단궁·과하마·반어피·10월 무천·호랑이 신 단서</x:v>
      </x:c>
      <x:c r="F20" s="36" t="str">
        <x:v>https://raw.githubusercontent.com/tjdus7911-ops/history/e27f008038d722934eee63070aac4e006c7d7bd9/dist/assets/exams/catalog/77-advanced-03.webp</x:v>
      </x:c>
      <x:c r="G20" s="36" t="str">
        <x:v>https://www.historyexam.go.kr/pst/view.do?bbs=dat&amp;pst_sno=1000030110</x:v>
      </x:c>
      <x:c r="H20" s="36" t="str">
        <x:v>https://www.historyexam.go.kr/atchFile/FileDown.do?atch_file_id=B_202602071228075140
SHA-256 c3ff51d9273f7812a2b84d7fac4e8e1cb9aa642e80a4f53ebfc2a8afc5503e88
https://www.historyexam.go.kr/atchFile/FileDown.do?atch_file_id=B_202602071050519721
SHA-256 71b9b6ef633f0e70b6a9b3c4565ec2f02a1ba2ef5f805f34d77d41427913b304</x:v>
      </x:c>
      <x:c r="I20" s="11" t="str">
        <x:v>앞선 검토: 공식 문제·정답 PDF 확인
원문 이미지의 지문·보기 확인
기존 9건의 원문·정답표 확인 기록을 보존했다. 이 건의 PDF를 이번 턴 다시 검증했다고 표시하지 않았다.</x:v>
      </x:c>
    </x:row>
    <x:row r="21" ht="138.75" customHeight="1">
      <x:c r="A21" s="10" t="str">
        <x:v>official-73-advanced-04</x:v>
      </x:c>
      <x:c r="B21" s="10" t="str">
        <x:v>73회 심화 4번</x:v>
      </x:c>
      <x:c r="C21" s="27" t="n">
        <x:v>3</x:v>
      </x:c>
      <x:c r="D21" s="27" t="n">
        <x:v>5</x:v>
      </x:c>
      <x:c r="E21" s="10" t="str">
        <x:v>(가) 옥저 소금 어물·가족 목곽과 (나) 삼한 신지 읍차·철·농경 제사</x:v>
      </x:c>
      <x:c r="F21" s="35" t="str">
        <x:v>https://raw.githubusercontent.com/tjdus7911-ops/history/e27f008038d722934eee63070aac4e006c7d7bd9/dist/assets/exams/catalog/73-advanced-04.webp</x:v>
      </x:c>
      <x:c r="G21" s="35" t="str">
        <x:v>https://www.historyexam.go.kr/pst/view.do?bbs=dat&amp;pst_sno=1000030052</x:v>
      </x:c>
      <x:c r="H21" s="35" t="str">
        <x:v>https://www.historyexam.go.kr/atchFile/FileDown.do?atch_file_id=B_202502161203255660
SHA-256 d6ad706f1bd7ce3a0b18d7b7cdda9439d10b7b712121428b21af2c31268c4836
https://www.historyexam.go.kr/atchFile/FileDown.do?atch_file_id=B_202502161203256681
SHA-256 0dfeee4af303493e95a3a30c7f7cd890377f067789bdb7c00a9cc90af15c6347</x:v>
      </x:c>
      <x:c r="I21" s="10" t="str">
        <x:v>앞선 검토: 공식 문제·정답 PDF 확인
원문 이미지의 지문·보기 확인
기존 9건의 원문·정답표 확인 기록을 보존했다. 이 건의 PDF를 이번 턴 다시 검증했다고 표시하지 않았다.</x:v>
      </x:c>
    </x:row>
    <x:row r="22" ht="138.75" customHeight="1">
      <x:c r="A22" s="11" t="str">
        <x:v>official-61-advanced-02</x:v>
      </x:c>
      <x:c r="B22" s="11" t="str">
        <x:v>61회 심화 2번</x:v>
      </x:c>
      <x:c r="C22" s="28" t="n">
        <x:v>1</x:v>
      </x:c>
      <x:c r="D22" s="28" t="n">
        <x:v>5</x:v>
      </x:c>
      <x:c r="E22" s="11" t="str">
        <x:v>신지 읍차·목지국 사로국 구야국·5월과 10월 제사</x:v>
      </x:c>
      <x:c r="F22" s="36" t="str">
        <x:v>https://raw.githubusercontent.com/tjdus7911-ops/history/e27f008038d722934eee63070aac4e006c7d7bd9/dist/assets/exams/catalog/61-advanced-02.webp</x:v>
      </x:c>
      <x:c r="G22" s="36" t="str">
        <x:v>https://www.historyexam.go.kr/pst/view.do?bbs=dat&amp;pst_sno=1000029914</x:v>
      </x:c>
      <x:c r="H22" s="36" t="str">
        <x:v>https://www.historyexam.go.kr/atchFile/FileDown.do?atch_file_id=B_202210221238091100
SHA-256 80b4a83a1bd11208302d3f447cbb3025f6225d98953e98a57196dd29c4604f09
https://www.historyexam.go.kr/atchFile/FileDown.do?atch_file_id=B_202210221238092121
SHA-256 f8235a345606d3a775d924ca504449541ce34bd287c663c455a5371ec6341491</x:v>
      </x:c>
      <x:c r="I22" s="11" t="str">
        <x:v>이번 검토: 공식 정답 PDF 직접 확인
원문 이미지의 지문·보기 확인
이 건의 공식 정답 PDF에서 해당 문항 번호와 정답을 이번 턴 직접 판독했다. 전체 문제 PDF 재대조와 구분한다.</x:v>
      </x:c>
    </x:row>
    <x:row r="23" ht="138.75" customHeight="1">
      <x:c r="A23" s="10" t="str">
        <x:v>official-77-basic-02</x:v>
      </x:c>
      <x:c r="B23" s="10" t="str">
        <x:v>77회 기본 2번</x:v>
      </x:c>
      <x:c r="C23" s="27" t="n">
        <x:v>4</x:v>
      </x:c>
      <x:c r="D23" s="27" t="n">
        <x:v>4</x:v>
      </x:c>
      <x:c r="E23" s="10" t="str">
        <x:v>천군·소도·신지 읍차를 지도 위치와 연결</x:v>
      </x:c>
      <x:c r="F23" s="35" t="str">
        <x:v>https://raw.githubusercontent.com/tjdus7911-ops/history/e27f008038d722934eee63070aac4e006c7d7bd9/dist/assets/exams/catalog/77-basic-02.webp</x:v>
      </x:c>
      <x:c r="G23" s="35" t="str">
        <x:v>https://www.historyexam.go.kr/pst/view.do?bbs=dat&amp;pst_sno=1000030109</x:v>
      </x:c>
      <x:c r="H23" s="35" t="str">
        <x:v>https://www.historyexam.go.kr/atchFile/FileDown.do?atch_file_id=B_202602071226588770
SHA-256 6f1c581280de0369fd7a060cc8e9ef40648eaa630d7da3d5f838e88bfa755563
https://www.historyexam.go.kr/atchFile/FileDown.do?atch_file_id=B_202602071226590111
SHA-256 a5c299275098c3559bfb86075bad164ff6e57f3fab4bdbd59f8bddce6f7f9f75</x:v>
      </x:c>
      <x:c r="I23" s="10" t="str">
        <x:v>앞선 검토: 공식 문제·정답 PDF 확인
원문 이미지의 지문·보기 확인
기존 9건의 원문·정답표 확인 기록을 보존했다. 이 건의 PDF를 이번 턴 다시 검증했다고 표시하지 않았다.</x:v>
      </x:c>
    </x:row>
    <x:row r="24" ht="138.75" customHeight="1">
      <x:c r="A24" s="11" t="str">
        <x:v>official-69-advanced-03</x:v>
      </x:c>
      <x:c r="B24" s="11" t="str">
        <x:v>69회 심화 3번</x:v>
      </x:c>
      <x:c r="C24" s="28" t="n">
        <x:v>3</x:v>
      </x:c>
      <x:c r="D24" s="28" t="n">
        <x:v>5</x:v>
      </x:c>
      <x:c r="E24" s="11" t="str">
        <x:v>(가) 동예 무천·읍군 삼로, (나) 삼한 5월 제사·천군</x:v>
      </x:c>
      <x:c r="F24" s="36" t="str">
        <x:v>https://raw.githubusercontent.com/tjdus7911-ops/history/e27f008038d722934eee63070aac4e006c7d7bd9/dist/assets/exams/catalog/69-advanced-03.webp</x:v>
      </x:c>
      <x:c r="G24" s="36" t="str">
        <x:v>https://www.historyexam.go.kr/pst/view.do?bbs=dat&amp;pst_sno=1000029997</x:v>
      </x:c>
      <x:c r="H24" s="36" t="str">
        <x:v>https://www.historyexam.go.kr/atchFile/FileDown.do?atch_file_id=B_202402171202232240
SHA-256 9656cfbd40c3ed2b9f13ebb96e9a347bad87db8511dfe8954857baf7ccc91a26
https://www.historyexam.go.kr/atchFile/FileDown.do?atch_file_id=B_202402171202233941
SHA-256 8596e629436c89d05719cb063470cdef4217df5954e39c7f141311542d5f6183</x:v>
      </x:c>
      <x:c r="I24" s="11" t="str">
        <x:v>이번 검토: 공식 정답 PDF 직접 확인
원문 이미지의 지문·보기 확인
이 건의 공식 정답 PDF에서 해당 문항 번호와 정답을 이번 턴 직접 판독했다. 전체 문제 PDF 재대조와 구분한다.</x:v>
      </x:c>
    </x:row>
    <x:row r="25" ht="138.75" customHeight="1">
      <x:c r="A25" s="10" t="str">
        <x:v>official-78-advanced-03</x:v>
      </x:c>
      <x:c r="B25" s="10" t="str">
        <x:v>78회 심화 3번</x:v>
      </x:c>
      <x:c r="C25" s="27" t="n">
        <x:v>1</x:v>
      </x:c>
      <x:c r="D25" s="27" t="n">
        <x:v>5</x:v>
      </x:c>
      <x:c r="E25" s="10" t="str">
        <x:v>(가) 삼한 5월 제사·천군, (나) 부여 은력 정월 영고</x:v>
      </x:c>
      <x:c r="F25" s="35" t="str">
        <x:v>https://raw.githubusercontent.com/tjdus7911-ops/history/e27f008038d722934eee63070aac4e006c7d7bd9/dist/assets/exams/catalog/78-advanced-03.webp</x:v>
      </x:c>
      <x:c r="G25" s="35" t="str">
        <x:v>https://www.historyexam.go.kr/pst/view.do?bbs=dat&amp;pst_sno=1000030119</x:v>
      </x:c>
      <x:c r="H25" s="35" t="str">
        <x:v>https://www.historyexam.go.kr/atchFile/FileDown.do?atch_file_id=B_202605230140467170
SHA-256 7d96d41c1686c5b3ea3c533d76fbb23235c44d8e55f53e81a320e31cf914fba0
https://www.historyexam.go.kr/atchFile/FileDown.do?atch_file_id=B_202605230140467941
SHA-256 a8e8513c5d73ae81594460354a7b8a83ddaec9894001ff66cecae40f4d280638</x:v>
      </x:c>
      <x:c r="I25" s="10" t="str">
        <x:v>앞선 검토: 공식 문제·정답 PDF 확인
원문 이미지의 지문·보기 확인
기존 9건의 원문·정답표 확인 기록을 보존했다. 이 건의 PDF를 이번 턴 다시 검증했다고 표시하지 않았다.</x:v>
      </x:c>
    </x:row>
    <x:row r="26" ht="138.75" customHeight="1">
      <x:c r="A26" s="11" t="str">
        <x:v>official-67-advanced-02</x:v>
      </x:c>
      <x:c r="B26" s="11" t="str">
        <x:v>67회 심화 2번</x:v>
      </x:c>
      <x:c r="C26" s="28" t="n">
        <x:v>4</x:v>
      </x:c>
      <x:c r="D26" s="28" t="n">
        <x:v>5</x:v>
      </x:c>
      <x:c r="E26" s="11" t="str">
        <x:v>네 나라의 제천 행사 이름·달 비교</x:v>
      </x:c>
      <x:c r="F26" s="36" t="str">
        <x:v>https://raw.githubusercontent.com/tjdus7911-ops/history/e27f008038d722934eee63070aac4e006c7d7bd9/dist/assets/exams/catalog/67-advanced-02.webp</x:v>
      </x:c>
      <x:c r="G26" s="36" t="str">
        <x:v>https://www.historyexam.go.kr/pst/view.do?bbs=dat&amp;pst_sno=1000029978</x:v>
      </x:c>
      <x:c r="H26" s="36" t="str">
        <x:v>https://www.historyexam.go.kr/atchFile/FileDown.do?atch_file_id=B_202310211223458130
SHA-256 0b07c5ac8a53be69eb839afd48ac044170a3b77a037f4ba48bdb629f02df3e9e
https://www.historyexam.go.kr/atchFile/FileDown.do?atch_file_id=B_202310211223459441
SHA-256 f2dd107d03de8915f61a0d3dc75873661fb36e01fa77dedd1b87b81efe02d6b8</x:v>
      </x:c>
      <x:c r="I26" s="11" t="str">
        <x:v>이번 검토: 공식 정답 PDF 직접 확인
원문 이미지의 지문·보기 확인
이 건은 처음 발견한 sourceGap을 공식 목록과 상세 페이지를 통해 해결하고 문제·정답 PDF를 이번 턴 직접 대조했다.</x:v>
      </x:c>
    </x:row>
    <x:row r="27" ht="138.75" customHeight="1">
      <x:c r="A27" s="10" t="str">
        <x:v>official-57-basic-02</x:v>
      </x:c>
      <x:c r="B27" s="10" t="str">
        <x:v>57회 기본 2번</x:v>
      </x:c>
      <x:c r="C27" s="27" t="n">
        <x:v>3</x:v>
      </x:c>
      <x:c r="D27" s="27" t="n">
        <x:v>4</x:v>
      </x:c>
      <x:c r="E27" s="10" t="str">
        <x:v>무천·책화가 등장하는 만화 기획</x:v>
      </x:c>
      <x:c r="F27" s="35" t="str">
        <x:v>https://raw.githubusercontent.com/tjdus7911-ops/history/e27f008038d722934eee63070aac4e006c7d7bd9/dist/assets/exams/catalog/57-basic-02.webp</x:v>
      </x:c>
      <x:c r="G27" s="35" t="str">
        <x:v>https://www.historyexam.go.kr/pst/view.do?bbs=dat&amp;pst_sno=1000029846</x:v>
      </x:c>
      <x:c r="H27" s="35" t="str">
        <x:v>https://www.historyexam.go.kr/atchFile/FileDown.do?atch_file_id=B_202202121211580680
SHA-256 8a5ff2c4acb87488a7748f4632a271bdf1947998a365312d9986c291d41fca2a
https://www.historyexam.go.kr/atchFile/FileDown.do?atch_file_id=B_202606151211273981
SHA-256 ef56801c2f33b3475753f2e2295b592ce8821c84a7989a0a2c46b539b63cca0d</x:v>
      </x:c>
      <x:c r="I27" s="10" t="str">
        <x:v>이번 검토: 공식 정답 PDF 직접 확인
원문 이미지의 지문·보기 확인
이 건의 공식 정답 PDF에서 해당 문항 번호와 정답을 이번 턴 직접 판독했다. 전체 문제 PDF 재대조와 구분한다.</x:v>
      </x:c>
    </x:row>
    <x:row r="28" ht="138.75" customHeight="1">
      <x:c r="A28" s="11" t="str">
        <x:v>official-63-advanced-02</x:v>
      </x:c>
      <x:c r="B28" s="11" t="str">
        <x:v>63회 심화 2번</x:v>
      </x:c>
      <x:c r="C28" s="28" t="n">
        <x:v>4</x:v>
      </x:c>
      <x:c r="D28" s="28" t="n">
        <x:v>5</x:v>
      </x:c>
      <x:c r="E28" s="11" t="str">
        <x:v>읍군 삼로·특산물·책화 조사 결과</x:v>
      </x:c>
      <x:c r="F28" s="36" t="str">
        <x:v>https://raw.githubusercontent.com/tjdus7911-ops/history/e27f008038d722934eee63070aac4e006c7d7bd9/dist/assets/exams/catalog/63-advanced-02.webp</x:v>
      </x:c>
      <x:c r="G28" s="36" t="str">
        <x:v>https://www.historyexam.go.kr/pst/view.do?bbs=dat&amp;pst_sno=1000029944</x:v>
      </x:c>
      <x:c r="H28" s="36" t="str">
        <x:v>https://www.historyexam.go.kr/atchFile/FileDown.do?atch_file_id=B_202302210241560190
SHA-256 42f3f331ce2fb5fb4ff267b18ab255bb4370f5f187f6464ca63f681c9ce38b14
https://www.historyexam.go.kr/atchFile/FileDown.do?atch_file_id=B_202302210241560901
SHA-256 8fd315a7e3b1b371ccebaa491a98bea369bd3005c813c069352ba369609f3274</x:v>
      </x:c>
      <x:c r="I28" s="11" t="str">
        <x:v>이번 검토: 공식 정답 PDF 직접 확인
원문 이미지의 지문·보기 확인
이 건의 공식 정답 PDF에서 해당 문항 번호와 정답을 이번 턴 직접 판독했다. 전체 문제 PDF 재대조와 구분한다.</x:v>
      </x:c>
    </x:row>
    <x:row r="29" ht="138.75" customHeight="1">
      <x:c r="A29" s="23" t="str">
        <x:v>official-79-advanced-02</x:v>
      </x:c>
      <x:c r="B29" s="23" t="str">
        <x:v>79회 심화 2번</x:v>
      </x:c>
      <x:c r="C29" s="29" t="n">
        <x:v>4</x:v>
      </x:c>
      <x:c r="D29" s="29" t="n">
        <x:v>5</x:v>
      </x:c>
      <x:c r="E29" s="23" t="str">
        <x:v>(가) 부여 영고·형사취수, (나) 동예 책화·족외혼·호랑이 신</x:v>
      </x:c>
      <x:c r="F29" s="37" t="str">
        <x:v>https://raw.githubusercontent.com/tjdus7911-ops/history/e27f008038d722934eee63070aac4e006c7d7bd9/dist/assets/exams/catalog/79-advanced-02.webp</x:v>
      </x:c>
      <x:c r="G29" s="37" t="str">
        <x:v>https://www.historyexam.go.kr/pst/view.do?bbs=dat&amp;pst_sno=1000030131</x:v>
      </x:c>
      <x:c r="H29" s="37" t="str">
        <x:v>https://www.historyexam.go.kr/atchFile/FileDown.do?atch_file_id=B_202608090227540820
SHA-256 fa82e6c8977670c1b55778b061e33ee367c55cd3f8707806f63d70d8353453d7
https://www.historyexam.go.kr/atchFile/FileDown.do?atch_file_id=B_202608090111475331
SHA-256 ea380c4a1f4f24ebd4c95ad171aa7ace3fc0654284fbe2d7be4d5b1f675ec393</x:v>
      </x:c>
      <x:c r="I29" s="23" t="str">
        <x:v>이번 검토: 공식 정답 PDF 직접 확인
원문 이미지의 지문·보기 확인
이 건의 공식 정답 PDF에서 해당 문항 번호와 정답을 이번 턴 직접 판독했다. 전체 문제 PDF 재대조와 구분한다.</x:v>
      </x:c>
    </x:row>
  </x:sheetData>
  <x:pageMargins left="0.7" right="0.7" top="0.75" bottom="0.75" header="0.3" footer="0.3"/>
  <x:tableParts count="1">
    <x:tablePart xmlns:r="http://schemas.openxmlformats.org/officeDocument/2006/relationships" r:id="R6b76595cf2ed4c71"/>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1.109999656677246" hidden="0" customWidth="1"/>
    <x:col min="2" max="2" width="7.78000020980835" hidden="0" customWidth="1"/>
    <x:col min="3" max="3" width="40" hidden="0" customWidth="1"/>
    <x:col min="4" max="4" width="15.5600004196167" hidden="0" customWidth="1"/>
    <x:col min="5" max="5" width="18.329999923706055" hidden="0" customWidth="1"/>
    <x:col min="6" max="6" width="34.439998626708984" hidden="0" customWidth="1"/>
    <x:col min="7" max="7" width="31.670000076293945" hidden="0" customWidth="1"/>
    <x:col min="8" max="8" width="49.439998626708984" hidden="0" customWidth="1"/>
  </x:cols>
  <x:sheetData>
    <x:row r="1" ht="9" customHeight="1">
      <x:c r="A1" s="2"/>
      <x:c r="B1" s="2"/>
      <x:c r="C1" s="2"/>
      <x:c r="D1" s="2"/>
      <x:c r="E1" s="2"/>
      <x:c r="F1" s="2"/>
      <x:c r="G1" s="2"/>
      <x:c r="H1" s="2"/>
    </x:row>
    <x:row r="2" ht="22.5" customHeight="1">
      <x:c r="A2" s="4" t="str">
        <x:v>원삼국 · 족보와 학습 항목 31개</x:v>
      </x:c>
      <x:c r="B2" s="5"/>
      <x:c r="C2" s="5"/>
      <x:c r="D2" s="5"/>
      <x:c r="E2" s="5"/>
      <x:c r="F2" s="5"/>
      <x:c r="G2" s="5"/>
      <x:c r="H2" s="5"/>
    </x:row>
    <x:row r="3" ht="18" customHeight="1">
      <x:c r="A3" s="7" t="str">
        <x:v>사진1 가운데 여러 나라 표의 23개 표기 묶음을 대조했습니다. 사진에 없는 보충 내용과 공식 사료 출처를 구분합니다.</x:v>
      </x:c>
      <x:c r="B3" s="2"/>
      <x:c r="C3" s="2"/>
      <x:c r="D3" s="2"/>
      <x:c r="E3" s="2"/>
      <x:c r="F3" s="2"/>
      <x:c r="G3" s="2"/>
      <x:c r="H3" s="2"/>
    </x:row>
    <x:row r="4" ht="18" customHeight="1">
      <x:c r="A4" s="2"/>
      <x:c r="B4" s="2"/>
      <x:c r="C4" s="2"/>
      <x:c r="D4" s="2"/>
      <x:c r="E4" s="2"/>
      <x:c r="F4" s="2"/>
      <x:c r="G4" s="2"/>
      <x:c r="H4" s="2"/>
    </x:row>
    <x:row r="5" ht="6.75" customHeight="1">
      <x:c r="A5" s="2"/>
      <x:c r="B5" s="2"/>
      <x:c r="C5" s="2"/>
      <x:c r="D5" s="2"/>
      <x:c r="E5" s="2"/>
      <x:c r="F5" s="2"/>
      <x:c r="G5" s="2"/>
      <x:c r="H5" s="2"/>
    </x:row>
    <x:row r="6" ht="28.5" customHeight="1">
      <x:c r="A6" s="20" t="str">
        <x:v>학습 ID</x:v>
      </x:c>
      <x:c r="B6" s="21" t="str">
        <x:v>나라</x:v>
      </x:c>
      <x:c r="C6" s="21" t="str">
        <x:v>학습 내용</x:v>
      </x:c>
      <x:c r="D6" s="21" t="str">
        <x:v>첫 공통 학습</x:v>
      </x:c>
      <x:c r="E6" s="21" t="str">
        <x:v>다시 연결되는 씬</x:v>
      </x:c>
      <x:c r="F6" s="21" t="str">
        <x:v>사진에서 확인한 표기</x:v>
      </x:c>
      <x:c r="G6" s="21" t="str">
        <x:v>반영 구분</x:v>
      </x:c>
      <x:c r="H6" s="22" t="str">
        <x:v>사료·기관 자료</x:v>
      </x:c>
    </x:row>
    <x:row r="7" ht="39" customHeight="1">
      <x:c r="A7" s="10" t="str">
        <x:v>GE-01</x:v>
      </x:c>
      <x:c r="B7" s="10" t="str">
        <x:v>공통</x:v>
      </x:c>
      <x:c r="C7" s="10" t="str">
        <x:v>여러 나라의 위치와 여행 순서는 건국 순서가 아님</x:v>
      </x:c>
      <x:c r="D7" s="10" t="str">
        <x:v>CH01 S06</x:v>
      </x:c>
      <x:c r="E7" s="10" t="str">
        <x:v>첫 학습에서 완료</x:v>
      </x:c>
      <x:c r="F7" s="10" t="str">
        <x:v>사진 직접 표기 없음</x:v>
      </x:c>
      <x:c r="G7" s="10" t="str">
        <x:v>기존 대본·공식 자료 보충 (사진 직접 표기 아님)</x:v>
      </x:c>
      <x:c r="H7" s="10" t="str">
        <x:v>https://contents.history.go.kr/mobile/ta/view.do?levelId=ta_h61_0030_0020_0030</x:v>
      </x:c>
    </x:row>
    <x:row r="8" ht="67.5" customHeight="1">
      <x:c r="A8" s="11" t="str">
        <x:v>GE-02</x:v>
      </x:c>
      <x:c r="B8" s="11" t="str">
        <x:v>공통</x:v>
      </x:c>
      <x:c r="C8" s="11" t="str">
        <x:v>철·소금 등 지역 간 교역과 소식</x:v>
      </x:c>
      <x:c r="D8" s="11" t="str">
        <x:v>CH01 S09</x:v>
      </x:c>
      <x:c r="E8" s="11" t="str">
        <x:v>CH03 S12
CH04 S03
CH05 S07
CH06 S05</x:v>
      </x:c>
      <x:c r="F8" s="11" t="str">
        <x:v>사진 직접 표기 없음</x:v>
      </x:c>
      <x:c r="G8" s="11" t="str">
        <x:v>기존 대본·공식 자료 보충 (사진 직접 표기 아님)</x:v>
      </x:c>
      <x:c r="H8" s="11" t="str">
        <x:v>https://contents.history.go.kr/front/hm/view.do?levelId=hm_005_0030
https://contents.history.go.kr/front/hm/print.do?levelId=hm_005_0020</x:v>
      </x:c>
    </x:row>
    <x:row r="9" ht="53.25" customHeight="1">
      <x:c r="A9" s="10" t="str">
        <x:v>BU-01</x:v>
      </x:c>
      <x:c r="B9" s="10" t="str">
        <x:v>부여</x:v>
      </x:c>
      <x:c r="C9" s="10" t="str">
        <x:v>부여 5부족 연맹과 왕·여러 가</x:v>
      </x:c>
      <x:c r="D9" s="10" t="str">
        <x:v>CH02 S02</x:v>
      </x:c>
      <x:c r="E9" s="10" t="str">
        <x:v>CH02 S11
CH07 S04</x:v>
      </x:c>
      <x:c r="F9" s="10" t="str">
        <x:v>P01: 5부족
P03: 王 / 마가·우가·저가·구가
P04: 王○ / 연맹왕국</x:v>
      </x:c>
      <x:c r="G9" s="10" t="str">
        <x:v>사진 표기 및 사료 보충</x:v>
      </x:c>
      <x:c r="H9" s="10" t="str">
        <x:v>https://contents.history.go.kr/mobile/hm/view.do?levelId=hm_003_0020</x:v>
      </x:c>
    </x:row>
    <x:row r="10" ht="67.5" customHeight="1">
      <x:c r="A10" s="11" t="str">
        <x:v>BU-02</x:v>
      </x:c>
      <x:c r="B10" s="11" t="str">
        <x:v>부여</x:v>
      </x:c>
      <x:c r="C10" s="11" t="str">
        <x:v>마가·우가·저가·구가와 사출도</x:v>
      </x:c>
      <x:c r="D10" s="11" t="str">
        <x:v>CH02 S02</x:v>
      </x:c>
      <x:c r="E10" s="11" t="str">
        <x:v>CH02 S03
CH02 S11
CH03 S09
CH07 S04</x:v>
      </x:c>
      <x:c r="F10" s="11" t="str">
        <x:v>P02: 4(사출도)
P03: 王 / 마가·우가·저가·구가</x:v>
      </x:c>
      <x:c r="G10" s="11" t="str">
        <x:v>사진 표기 및 사료 보충</x:v>
      </x:c>
      <x:c r="H10" s="11" t="str">
        <x:v>https://contents.history.go.kr/mobile/hm/view.do?levelId=hm_003_0020</x:v>
      </x:c>
    </x:row>
    <x:row r="11" ht="81.75" customHeight="1">
      <x:c r="A11" s="10" t="str">
        <x:v>BU-03</x:v>
      </x:c>
      <x:c r="B11" s="10" t="str">
        <x:v>부여</x:v>
      </x:c>
      <x:c r="C11" s="10" t="str">
        <x:v>영고·12월</x:v>
      </x:c>
      <x:c r="D11" s="10" t="str">
        <x:v>CH02 S04</x:v>
      </x:c>
      <x:c r="E11" s="10" t="str">
        <x:v>CH02 S10
CH02 S11
CH03 S11
CH05 S06
CH07 S02</x:v>
      </x:c>
      <x:c r="F11" s="10" t="str">
        <x:v>P05: 영고 → 12月</x:v>
      </x:c>
      <x:c r="G11" s="10" t="str">
        <x:v>사진 표기 및 사료 보충</x:v>
      </x:c>
      <x:c r="H11" s="10" t="str">
        <x:v>https://contents.history.go.kr/front/hm/print.do?levelId=hm_003_0010
https://contents.history.go.kr/eh_kk/teach/notebook/data/05_d01_1.htm</x:v>
      </x:c>
    </x:row>
    <x:row r="12" ht="39" customHeight="1">
      <x:c r="A12" s="11" t="str">
        <x:v>BU-04</x:v>
      </x:c>
      <x:c r="B12" s="11" t="str">
        <x:v>부여</x:v>
      </x:c>
      <x:c r="C12" s="11" t="str">
        <x:v>부여 1책12법</x:v>
      </x:c>
      <x:c r="D12" s="11" t="str">
        <x:v>CH02 S05</x:v>
      </x:c>
      <x:c r="E12" s="11" t="str">
        <x:v>CH02 S11</x:v>
      </x:c>
      <x:c r="F12" s="11" t="str">
        <x:v>P06: 1책12법</x:v>
      </x:c>
      <x:c r="G12" s="11" t="str">
        <x:v>사진 표기 및 사료 보충</x:v>
      </x:c>
      <x:c r="H12" s="11" t="str">
        <x:v>https://contents.history.go.kr/front/hm/print.do?levelId=hm_006_0010</x:v>
      </x:c>
    </x:row>
    <x:row r="13" ht="39" customHeight="1">
      <x:c r="A13" s="10" t="str">
        <x:v>BU-05</x:v>
      </x:c>
      <x:c r="B13" s="10" t="str">
        <x:v>부여</x:v>
      </x:c>
      <x:c r="C13" s="10" t="str">
        <x:v>순장(존재 서술과 가치판단 분리)</x:v>
      </x:c>
      <x:c r="D13" s="10" t="str">
        <x:v>CH02 S06</x:v>
      </x:c>
      <x:c r="E13" s="10" t="str">
        <x:v>CH02 S11</x:v>
      </x:c>
      <x:c r="F13" s="10" t="str">
        <x:v>사진 직접 표기 없음</x:v>
      </x:c>
      <x:c r="G13" s="10" t="str">
        <x:v>기존 대본·공식 자료 보충 (사진 직접 표기 아님)</x:v>
      </x:c>
      <x:c r="H13" s="10" t="str">
        <x:v>https://contents.history.go.kr/front/ta/print.do?levelId=ta_h61_0030_0020_0030</x:v>
      </x:c>
    </x:row>
    <x:row r="14" ht="81.75" customHeight="1">
      <x:c r="A14" s="11" t="str">
        <x:v>BU-06</x:v>
      </x:c>
      <x:c r="B14" s="11" t="str">
        <x:v>부여</x:v>
      </x:c>
      <x:c r="C14" s="11" t="str">
        <x:v>부여 형사취수제(원사진 외 사료 보충)</x:v>
      </x:c>
      <x:c r="D14" s="11" t="str">
        <x:v>CH02 S06</x:v>
      </x:c>
      <x:c r="E14" s="11" t="str">
        <x:v>CH02 S11</x:v>
      </x:c>
      <x:c r="F14" s="11" t="str">
        <x:v>사진 직접 표기 없음</x:v>
      </x:c>
      <x:c r="G14" s="11" t="str">
        <x:v>기존 대본·공식 자료 보충 (사진 직접 표기 아님)</x:v>
      </x:c>
      <x:c r="H14" s="11" t="str">
        <x:v>https://db.history.go.kr/id/jo_004r_0010_0020_0030
https://contents.history.go.kr/front/km/view.do?levelId=km_001_0030_0020_0030
https://contents.history.go.kr/mobile/nh/view.do?levelId=nh_004_0040_0040_0020</x:v>
      </x:c>
    </x:row>
    <x:row r="15" ht="67.5" customHeight="1">
      <x:c r="A15" s="10" t="str">
        <x:v>BU-07</x:v>
      </x:c>
      <x:c r="B15" s="10" t="str">
        <x:v>부여</x:v>
      </x:c>
      <x:c r="C15" s="10" t="str">
        <x:v>부여 우제점법(원사진 외 사료 보충)</x:v>
      </x:c>
      <x:c r="D15" s="10" t="str">
        <x:v>CH02 S06</x:v>
      </x:c>
      <x:c r="E15" s="10" t="str">
        <x:v>CH02 S11</x:v>
      </x:c>
      <x:c r="F15" s="10" t="str">
        <x:v>사진 직접 표기 없음</x:v>
      </x:c>
      <x:c r="G15" s="10" t="str">
        <x:v>기존 대본·공식 자료 보충 (사진 직접 표기 아님)</x:v>
      </x:c>
      <x:c r="H15" s="10" t="str">
        <x:v>https://contents.history.go.kr/front/ta/view.do?levelId=ta_h71_0030_0020_0020_0010
https://contents.history.go.kr/front/ta/print.do?levelId=ta_h61_0030_0020_0030</x:v>
      </x:c>
    </x:row>
    <x:row r="16" ht="39" customHeight="1">
      <x:c r="A16" s="11" t="str">
        <x:v>GO-01</x:v>
      </x:c>
      <x:c r="B16" s="11" t="str">
        <x:v>고구려</x:v>
      </x:c>
      <x:c r="C16" s="11" t="str">
        <x:v>고구려 5부와 제가회의</x:v>
      </x:c>
      <x:c r="D16" s="11" t="str">
        <x:v>CH03 S09</x:v>
      </x:c>
      <x:c r="E16" s="11" t="str">
        <x:v>CH03 S14
CH07 S04</x:v>
      </x:c>
      <x:c r="F16" s="11" t="str">
        <x:v>P04: 王○ / 연맹왕국
P07: 5부족(제가회의)</x:v>
      </x:c>
      <x:c r="G16" s="11" t="str">
        <x:v>사진 표기 및 사료 보충</x:v>
      </x:c>
      <x:c r="H16" s="11" t="str">
        <x:v>https://contents.history.go.kr/mobile/ta/view.do?levelId=ta_h61_0030_0020_0030</x:v>
      </x:c>
    </x:row>
    <x:row r="17" ht="39" customHeight="1">
      <x:c r="A17" s="10" t="str">
        <x:v>GO-02</x:v>
      </x:c>
      <x:c r="B17" s="10" t="str">
        <x:v>고구려</x:v>
      </x:c>
      <x:c r="C17" s="10" t="str">
        <x:v>서옥제</x:v>
      </x:c>
      <x:c r="D17" s="10" t="str">
        <x:v>CH03 S10</x:v>
      </x:c>
      <x:c r="E17" s="10" t="str">
        <x:v>CH03 S14
CH04 S04</x:v>
      </x:c>
      <x:c r="F17" s="10" t="str">
        <x:v>P09: 서옥제</x:v>
      </x:c>
      <x:c r="G17" s="10" t="str">
        <x:v>사진 표기 및 사료 보충</x:v>
      </x:c>
      <x:c r="H17" s="10" t="str">
        <x:v>https://contents.history.go.kr/front/hm/view.do?levelId=hm_020_0010</x:v>
      </x:c>
    </x:row>
    <x:row r="18" ht="67.5" customHeight="1">
      <x:c r="A18" s="11" t="str">
        <x:v>GO-03</x:v>
      </x:c>
      <x:c r="B18" s="11" t="str">
        <x:v>고구려</x:v>
      </x:c>
      <x:c r="C18" s="11" t="str">
        <x:v>동맹·10월</x:v>
      </x:c>
      <x:c r="D18" s="11" t="str">
        <x:v>CH03 S11</x:v>
      </x:c>
      <x:c r="E18" s="11" t="str">
        <x:v>CH03 S14
CH05 S06
CH07 S02</x:v>
      </x:c>
      <x:c r="F18" s="11" t="str">
        <x:v>P08: 동맹</x:v>
      </x:c>
      <x:c r="G18" s="11" t="str">
        <x:v>사진 표기 및 사료 보충</x:v>
      </x:c>
      <x:c r="H18" s="11" t="str">
        <x:v>https://contents.history.go.kr/eh_kk/teach/notebook/data/05_d01_1.htm
https://contents.history.go.kr/front/ta/view.do?levelId=ta_h41_0030_0010_0030</x:v>
      </x:c>
    </x:row>
    <x:row r="19" ht="67.5" customHeight="1">
      <x:c r="A19" s="10" t="str">
        <x:v>GO-04</x:v>
      </x:c>
      <x:c r="B19" s="10" t="str">
        <x:v>고구려</x:v>
      </x:c>
      <x:c r="C19" s="10" t="str">
        <x:v>고구려 1책12법</x:v>
      </x:c>
      <x:c r="D19" s="10" t="str">
        <x:v>CH03 S13</x:v>
      </x:c>
      <x:c r="E19" s="10" t="str">
        <x:v>첫 학습에서 완료</x:v>
      </x:c>
      <x:c r="F19" s="10" t="str">
        <x:v>P10: 1책12법</x:v>
      </x:c>
      <x:c r="G19" s="10" t="str">
        <x:v>사진 표기 및 사료 보충</x:v>
      </x:c>
      <x:c r="H19" s="10" t="str">
        <x:v>https://contents.history.go.kr/mobile/nh/view.do?levelId=nh_006_0050_0040_0020_0010
https://contents.history.go.kr/front/nh/view.do?levelId=nh_006_0050_0040_0020</x:v>
      </x:c>
    </x:row>
    <x:row r="20" ht="81.75" customHeight="1">
      <x:c r="A20" s="11" t="str">
        <x:v>GO-05</x:v>
      </x:c>
      <x:c r="B20" s="11" t="str">
        <x:v>고구려</x:v>
      </x:c>
      <x:c r="C20" s="11" t="str">
        <x:v>주몽·동명성왕·졸본/건국 전승과 현장 시점 구분</x:v>
      </x:c>
      <x:c r="D20" s="11" t="str">
        <x:v>CH03 S03</x:v>
      </x:c>
      <x:c r="E20" s="11" t="str">
        <x:v>CH03 S04
CH03 S05
CH03 S06
CH03 S14
CH07 S02</x:v>
      </x:c>
      <x:c r="F20" s="11" t="str">
        <x:v>사진 직접 표기 없음</x:v>
      </x:c>
      <x:c r="G20" s="11" t="str">
        <x:v>기존 대본·공식 자료 보충 (사진 직접 표기 아님)</x:v>
      </x:c>
      <x:c r="H20" s="11" t="str">
        <x:v>https://contents.history.go.kr/front/kc/printViewPopup.do?levelId=kc_i100100
https://contents.history.go.kr/front/ht/view.do?levelId=ht_001_0030_0030</x:v>
      </x:c>
    </x:row>
    <x:row r="21" ht="39" customHeight="1">
      <x:c r="A21" s="10" t="str">
        <x:v>GO-06</x:v>
      </x:c>
      <x:c r="B21" s="10" t="str">
        <x:v>고구려</x:v>
      </x:c>
      <x:c r="C21" s="10" t="str">
        <x:v>압록강 중류 산지</x:v>
      </x:c>
      <x:c r="D21" s="10" t="str">
        <x:v>CH03 S01</x:v>
      </x:c>
      <x:c r="E21" s="10" t="str">
        <x:v>첫 학습에서 완료</x:v>
      </x:c>
      <x:c r="F21" s="10" t="str">
        <x:v>사진 직접 표기 없음</x:v>
      </x:c>
      <x:c r="G21" s="10" t="str">
        <x:v>기존 대본·공식 자료 보충 (사진 직접 표기 아님)</x:v>
      </x:c>
      <x:c r="H21" s="10" t="str">
        <x:v>https://contents.history.go.kr/mobile/ta/view.do?levelId=ta_h61_0030_0020_0030</x:v>
      </x:c>
    </x:row>
    <x:row r="22" ht="67.5" customHeight="1">
      <x:c r="A22" s="11" t="str">
        <x:v>OK-01</x:v>
      </x:c>
      <x:c r="B22" s="11" t="str">
        <x:v>옥저</x:v>
      </x:c>
      <x:c r="C22" s="11" t="str">
        <x:v>옥저 읍군·삼로와 왕이 없는 정치 구조</x:v>
      </x:c>
      <x:c r="D22" s="11" t="str">
        <x:v>CH04 S03</x:v>
      </x:c>
      <x:c r="E22" s="11" t="str">
        <x:v>CH07 S04</x:v>
      </x:c>
      <x:c r="F22" s="11" t="str">
        <x:v>P11: 읍군 / 삼로 } 王×</x:v>
      </x:c>
      <x:c r="G22" s="11" t="str">
        <x:v>사진 표기 및 사료 보충</x:v>
      </x:c>
      <x:c r="H22" s="11" t="str">
        <x:v>https://contents.history.go.kr/front/hm/view.do?levelId=hm_003_0040
https://contents.history.go.kr/front/nh/view.do?levelId=nh_004_0050_0020_0020</x:v>
      </x:c>
    </x:row>
    <x:row r="23" ht="39" customHeight="1">
      <x:c r="A23" s="10" t="str">
        <x:v>OK-02</x:v>
      </x:c>
      <x:c r="B23" s="10" t="str">
        <x:v>옥저</x:v>
      </x:c>
      <x:c r="C23" s="10" t="str">
        <x:v>민며느리제</x:v>
      </x:c>
      <x:c r="D23" s="10" t="str">
        <x:v>CH04 S04</x:v>
      </x:c>
      <x:c r="E23" s="10" t="str">
        <x:v>CH07 S03</x:v>
      </x:c>
      <x:c r="F23" s="10" t="str">
        <x:v>P12: 민며느리제</x:v>
      </x:c>
      <x:c r="G23" s="10" t="str">
        <x:v>사진 표기 및 사료 보충</x:v>
      </x:c>
      <x:c r="H23" s="10" t="str">
        <x:v>https://contents.history.go.kr/front/hm/print.do?levelId=hm_006_0020</x:v>
      </x:c>
    </x:row>
    <x:row r="24" ht="67.5" customHeight="1">
      <x:c r="A24" s="11" t="str">
        <x:v>OK-03</x:v>
      </x:c>
      <x:c r="B24" s="11" t="str">
        <x:v>옥저</x:v>
      </x:c>
      <x:c r="C24" s="11" t="str">
        <x:v>가족 공동 무덤</x:v>
      </x:c>
      <x:c r="D24" s="11" t="str">
        <x:v>CH04 S05</x:v>
      </x:c>
      <x:c r="E24" s="11" t="str">
        <x:v>CH07 S03</x:v>
      </x:c>
      <x:c r="F24" s="11" t="str">
        <x:v>P13: 가족공동무덤</x:v>
      </x:c>
      <x:c r="G24" s="11" t="str">
        <x:v>사진 표기 및 사료 보충</x:v>
      </x:c>
      <x:c r="H24" s="11" t="str">
        <x:v>https://contents.history.go.kr/front/hm/view.do?levelId=hm_003_0040
https://contents.history.go.kr/front/nh/view.do?levelId=nh_004_0050_0020_0020</x:v>
      </x:c>
    </x:row>
    <x:row r="25" ht="39" customHeight="1">
      <x:c r="A25" s="10" t="str">
        <x:v>OK-04</x:v>
      </x:c>
      <x:c r="B25" s="10" t="str">
        <x:v>옥저</x:v>
      </x:c>
      <x:c r="C25" s="10" t="str">
        <x:v>소금·어물 공납과 고구려 지배</x:v>
      </x:c>
      <x:c r="D25" s="10" t="str">
        <x:v>CH04 S03</x:v>
      </x:c>
      <x:c r="E25" s="10" t="str">
        <x:v>CH07 S03</x:v>
      </x:c>
      <x:c r="F25" s="10" t="str">
        <x:v>P14: 소금·어물(해산물)</x:v>
      </x:c>
      <x:c r="G25" s="10" t="str">
        <x:v>사진 표기 및 사료 보충</x:v>
      </x:c>
      <x:c r="H25" s="10" t="str">
        <x:v>https://contents.history.go.kr/mobile/ta/view.do?levelId=ta_h61_0030_0020_0030</x:v>
      </x:c>
    </x:row>
    <x:row r="26" ht="96" customHeight="1">
      <x:c r="A26" s="11" t="str">
        <x:v>DY-01</x:v>
      </x:c>
      <x:c r="B26" s="11" t="str">
        <x:v>동예</x:v>
      </x:c>
      <x:c r="C26" s="11" t="str">
        <x:v>동예 읍군·삼로와 왕이 없는 정치 구조</x:v>
      </x:c>
      <x:c r="D26" s="11" t="str">
        <x:v>CH05 S04</x:v>
      </x:c>
      <x:c r="E26" s="11" t="str">
        <x:v>CH07 S04</x:v>
      </x:c>
      <x:c r="F26" s="11" t="str">
        <x:v>P11: 읍군 / 삼로 } 王×</x:v>
      </x:c>
      <x:c r="G26" s="11" t="str">
        <x:v>사진 표기 및 사료 보충</x:v>
      </x:c>
      <x:c r="H26" s="11" t="str">
        <x:v>https://contents.history.go.kr/mobile/mid/hm_003_0070?tabId=r
https://contents.history.go.kr/front/tg/view.do?ganada=%EC%B0%A8&amp;levelId=tg_001_0930&amp;pageUnit=100&amp;treeId=0101
https://contents.history.go.kr/eh_kk/teach/notebook/data/05_d01_1.htm</x:v>
      </x:c>
    </x:row>
    <x:row r="27" ht="67.5" customHeight="1">
      <x:c r="A27" s="10" t="str">
        <x:v>DY-02</x:v>
      </x:c>
      <x:c r="B27" s="10" t="str">
        <x:v>동예</x:v>
      </x:c>
      <x:c r="C27" s="10" t="str">
        <x:v>책화</x:v>
      </x:c>
      <x:c r="D27" s="10" t="str">
        <x:v>CH05 S02</x:v>
      </x:c>
      <x:c r="E27" s="10" t="str">
        <x:v>CH05 S03
CH05 S05
CH07 S03</x:v>
      </x:c>
      <x:c r="F27" s="10" t="str">
        <x:v>P17: 책화</x:v>
      </x:c>
      <x:c r="G27" s="10" t="str">
        <x:v>사진 표기 및 사료 보충</x:v>
      </x:c>
      <x:c r="H27" s="10" t="str">
        <x:v>https://contents.history.go.kr/mobile/mid/hm_003_0070?tabId=r
https://contents.history.go.kr/front/tg/view.do?ganada=%EC%B0%A8&amp;levelId=tg_001_0930&amp;pageUnit=100&amp;treeId=0101</x:v>
      </x:c>
    </x:row>
    <x:row r="28" ht="39" customHeight="1">
      <x:c r="A28" s="11" t="str">
        <x:v>DY-03</x:v>
      </x:c>
      <x:c r="B28" s="11" t="str">
        <x:v>동예</x:v>
      </x:c>
      <x:c r="C28" s="11" t="str">
        <x:v>족외혼</x:v>
      </x:c>
      <x:c r="D28" s="11" t="str">
        <x:v>CH05 S05</x:v>
      </x:c>
      <x:c r="E28" s="11" t="str">
        <x:v>CH07 S03</x:v>
      </x:c>
      <x:c r="F28" s="11" t="str">
        <x:v>P16: 족외혼</x:v>
      </x:c>
      <x:c r="G28" s="11" t="str">
        <x:v>사진 표기 및 사료 보충</x:v>
      </x:c>
      <x:c r="H28" s="11" t="str">
        <x:v>https://contents.history.go.kr/front/km/view.do?levelId=km_001_0030_0020_0030</x:v>
      </x:c>
    </x:row>
    <x:row r="29" ht="67.5" customHeight="1">
      <x:c r="A29" s="10" t="str">
        <x:v>DY-04</x:v>
      </x:c>
      <x:c r="B29" s="10" t="str">
        <x:v>동예</x:v>
      </x:c>
      <x:c r="C29" s="10" t="str">
        <x:v>무천·10월</x:v>
      </x:c>
      <x:c r="D29" s="10" t="str">
        <x:v>CH05 S06</x:v>
      </x:c>
      <x:c r="E29" s="10" t="str">
        <x:v>CH07 S02</x:v>
      </x:c>
      <x:c r="F29" s="10" t="str">
        <x:v>P15: 무천</x:v>
      </x:c>
      <x:c r="G29" s="10" t="str">
        <x:v>사진 표기 및 사료 보충</x:v>
      </x:c>
      <x:c r="H29" s="10" t="str">
        <x:v>https://contents.history.go.kr/eh_kk/teach/notebook/data/05_d01_1.htm
https://contents.history.go.kr/front/ta/view.do?levelId=ta_h41_0030_0010_0030</x:v>
      </x:c>
    </x:row>
    <x:row r="30" ht="39" customHeight="1">
      <x:c r="A30" s="11" t="str">
        <x:v>DY-05</x:v>
      </x:c>
      <x:c r="B30" s="11" t="str">
        <x:v>동예</x:v>
      </x:c>
      <x:c r="C30" s="11" t="str">
        <x:v>단궁·과하마·반어피</x:v>
      </x:c>
      <x:c r="D30" s="11" t="str">
        <x:v>CH05 S07</x:v>
      </x:c>
      <x:c r="E30" s="11" t="str">
        <x:v>CH07 S03</x:v>
      </x:c>
      <x:c r="F30" s="11" t="str">
        <x:v>P18: 단궁·과하마·반어피</x:v>
      </x:c>
      <x:c r="G30" s="11" t="str">
        <x:v>사진 표기 및 사료 보충</x:v>
      </x:c>
      <x:c r="H30" s="11" t="str">
        <x:v>https://contents.history.go.kr/front/hm/print.do?levelId=hm_005_0020</x:v>
      </x:c>
    </x:row>
    <x:row r="31" ht="39" customHeight="1">
      <x:c r="A31" s="10" t="str">
        <x:v>SH-01</x:v>
      </x:c>
      <x:c r="B31" s="10" t="str">
        <x:v>삼한</x:v>
      </x:c>
      <x:c r="C31" s="10" t="str">
        <x:v>마한·진한·변한과 여러 소국</x:v>
      </x:c>
      <x:c r="D31" s="10" t="str">
        <x:v>CH06 S02</x:v>
      </x:c>
      <x:c r="E31" s="10" t="str">
        <x:v>첫 학습에서 완료</x:v>
      </x:c>
      <x:c r="F31" s="10" t="str">
        <x:v>사진 직접 표기 없음</x:v>
      </x:c>
      <x:c r="G31" s="10" t="str">
        <x:v>기존 대본·공식 자료 보충 (사진 직접 표기 아님)</x:v>
      </x:c>
      <x:c r="H31" s="10" t="str">
        <x:v>https://contents.history.go.kr/mobile/ta/view.do?levelId=ta_h61_0030_0020_0030</x:v>
      </x:c>
    </x:row>
    <x:row r="32" ht="39" customHeight="1">
      <x:c r="A32" s="11" t="str">
        <x:v>SH-02</x:v>
      </x:c>
      <x:c r="B32" s="11" t="str">
        <x:v>삼한</x:v>
      </x:c>
      <x:c r="C32" s="11" t="str">
        <x:v>신지·읍차</x:v>
      </x:c>
      <x:c r="D32" s="11" t="str">
        <x:v>CH06 S03</x:v>
      </x:c>
      <x:c r="E32" s="11" t="str">
        <x:v>CH07 S04</x:v>
      </x:c>
      <x:c r="F32" s="11" t="str">
        <x:v>P20: 군장: 신지·읍차</x:v>
      </x:c>
      <x:c r="G32" s="11" t="str">
        <x:v>사진 표기 및 사료 보충</x:v>
      </x:c>
      <x:c r="H32" s="11" t="str">
        <x:v>https://contents.history.go.kr/front/hm/view.do?levelId=hm_007_0020</x:v>
      </x:c>
    </x:row>
    <x:row r="33" ht="39" customHeight="1">
      <x:c r="A33" s="10" t="str">
        <x:v>SH-03</x:v>
      </x:c>
      <x:c r="B33" s="10" t="str">
        <x:v>삼한</x:v>
      </x:c>
      <x:c r="C33" s="10" t="str">
        <x:v>천군·소도·제정 분리</x:v>
      </x:c>
      <x:c r="D33" s="10" t="str">
        <x:v>CH06 S06</x:v>
      </x:c>
      <x:c r="E33" s="10" t="str">
        <x:v>CH07 S04</x:v>
      </x:c>
      <x:c r="F33" s="10" t="str">
        <x:v>P19: 소도(천군) → 제정분리</x:v>
      </x:c>
      <x:c r="G33" s="10" t="str">
        <x:v>사진 표기 및 사료 보충</x:v>
      </x:c>
      <x:c r="H33" s="10" t="str">
        <x:v>https://contents.history.go.kr/front/hm/view.do?levelId=hm_007_0020</x:v>
      </x:c>
    </x:row>
    <x:row r="34" ht="39" customHeight="1">
      <x:c r="A34" s="11" t="str">
        <x:v>SH-04</x:v>
      </x:c>
      <x:c r="B34" s="11" t="str">
        <x:v>삼한</x:v>
      </x:c>
      <x:c r="C34" s="11" t="str">
        <x:v>5월·10월 계절 제천 행사</x:v>
      </x:c>
      <x:c r="D34" s="11" t="str">
        <x:v>CH06 S07</x:v>
      </x:c>
      <x:c r="E34" s="11" t="str">
        <x:v>CH07 S04</x:v>
      </x:c>
      <x:c r="F34" s="11" t="str">
        <x:v>P21: 계절제</x:v>
      </x:c>
      <x:c r="G34" s="11" t="str">
        <x:v>사진 표기 및 사료 보충</x:v>
      </x:c>
      <x:c r="H34" s="11" t="str">
        <x:v>https://contents.history.go.kr/mobile/ta/view.do?levelId=ta_h61_0030_0020_0030</x:v>
      </x:c>
    </x:row>
    <x:row r="35" ht="39" customHeight="1">
      <x:c r="A35" s="10" t="str">
        <x:v>SH-05</x:v>
      </x:c>
      <x:c r="B35" s="10" t="str">
        <x:v>삼한</x:v>
      </x:c>
      <x:c r="C35" s="10" t="str">
        <x:v>공동 노동/후대 두레 조직과 구별</x:v>
      </x:c>
      <x:c r="D35" s="10" t="str">
        <x:v>CH06 S07</x:v>
      </x:c>
      <x:c r="E35" s="10" t="str">
        <x:v>첫 학습에서 완료</x:v>
      </x:c>
      <x:c r="F35" s="10" t="str">
        <x:v>P22: 두레</x:v>
      </x:c>
      <x:c r="G35" s="10" t="str">
        <x:v>사진 표기 및 사료 보충</x:v>
      </x:c>
      <x:c r="H35" s="10" t="str">
        <x:v>https://contents.history.go.kr/mobile/ta/view.do?levelId=ta_h61_0030_0020_0030</x:v>
      </x:c>
    </x:row>
    <x:row r="36" ht="53.25" customHeight="1">
      <x:c r="A36" s="11" t="str">
        <x:v>SH-06</x:v>
      </x:c>
      <x:c r="B36" s="11" t="str">
        <x:v>삼한</x:v>
      </x:c>
      <x:c r="C36" s="11" t="str">
        <x:v>변한 철 생산·낙랑·왜 교역</x:v>
      </x:c>
      <x:c r="D36" s="11" t="str">
        <x:v>CH06 S04</x:v>
      </x:c>
      <x:c r="E36" s="11" t="str">
        <x:v>CH06 S05
CH06 S14
CH07 S04</x:v>
      </x:c>
      <x:c r="F36" s="11" t="str">
        <x:v>P23: 철 수출(변한)</x:v>
      </x:c>
      <x:c r="G36" s="11" t="str">
        <x:v>사진 표기 및 사료 보충</x:v>
      </x:c>
      <x:c r="H36" s="11" t="str">
        <x:v>https://contents.history.go.kr/front/hm/view.do?levelId=hm_005_0030</x:v>
      </x:c>
    </x:row>
    <x:row r="37" ht="39" customHeight="1">
      <x:c r="A37" s="23" t="str">
        <x:v>SH-07</x:v>
      </x:c>
      <x:c r="B37" s="23" t="str">
        <x:v>삼한</x:v>
      </x:c>
      <x:c r="C37" s="23" t="str">
        <x:v>벼농사와 농경 생활</x:v>
      </x:c>
      <x:c r="D37" s="23" t="str">
        <x:v>CH06 S07</x:v>
      </x:c>
      <x:c r="E37" s="23" t="str">
        <x:v>첫 학습에서 완료</x:v>
      </x:c>
      <x:c r="F37" s="23" t="str">
        <x:v>사진 직접 표기 없음</x:v>
      </x:c>
      <x:c r="G37" s="23" t="str">
        <x:v>기존 대본·공식 자료 보충 (사진 직접 표기 아님)</x:v>
      </x:c>
      <x:c r="H37" s="23" t="str">
        <x:v>https://contents.history.go.kr/mobile/ta/view.do?levelId=ta_h61_0030_0020_0030</x:v>
      </x:c>
    </x:row>
  </x:sheetData>
  <x:pageMargins left="0.7" right="0.7" top="0.75" bottom="0.75" header="0.3" footer="0.3"/>
  <x:tableParts count="1">
    <x:tablePart xmlns:r="http://schemas.openxmlformats.org/officeDocument/2006/relationships" r:id="R0314f01b10694dc7"/>
  </x:tableParts>
</x:worksheet>
</file>