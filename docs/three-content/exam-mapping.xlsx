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3b2127a80f04e2c" /></Relationships>
</file>

<file path=xl/workbook.xml><?xml version="1.0" encoding="utf-8"?>
<x:workbook xmlns:x="http://schemas.openxmlformats.org/spreadsheetml/2006/main">
  <x:sheets>
    <x:sheet xmlns:r="http://schemas.openxmlformats.org/officeDocument/2006/relationships" name="씬별연결" sheetId="1" r:id="Rb9be2e01cdc7492d"/>
    <x:sheet xmlns:r="http://schemas.openxmlformats.org/officeDocument/2006/relationships" name="실제출제순서" sheetId="2" r:id="R7c3c83f95206492b"/>
    <x:sheet xmlns:r="http://schemas.openxmlformats.org/officeDocument/2006/relationships" name="문항원장" sheetId="3" r:id="R20bcf10f6727483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9">
    <x:font>
      <x:sz val="11"/>
      <x:name val="Carlito"/>
    </x:font>
    <x:font>
      <x:sz val="10"/>
      <x:color rgb="FF182E3F"/>
      <x:name val="Noto Sans CJK KR"/>
    </x:font>
    <x:font>
      <x:b/>
      <x:sz val="10"/>
      <x:color rgb="FFFFFFFF"/>
      <x:name val="Noto Sans CJK KR"/>
    </x:font>
    <x:font>
      <x:b/>
      <x:sz val="17"/>
      <x:color rgb="FF182E3F"/>
      <x:name val="Noto Sans CJK KR"/>
    </x:font>
    <x:font>
      <x:sz val="10"/>
      <x:color rgb="FF5B6C78"/>
      <x:name val="Noto Sans CJK KR"/>
    </x:font>
    <x:font>
      <x:b/>
      <x:sz val="12"/>
      <x:color rgb="FF166D73"/>
      <x:name val="Noto Sans CJK KR"/>
    </x:font>
    <x:font>
      <x:b/>
      <x:sz val="10"/>
      <x:color rgb="FF182E3F"/>
      <x:name val="Noto Sans CJK KR"/>
    </x:font>
    <x:font>
      <x:b/>
      <x:sz val="10"/>
      <x:color rgb="FF166D73"/>
      <x:name val="Noto Sans CJK KR"/>
    </x:font>
    <x:font>
      <x:sz val="10"/>
      <x:color rgb="FF155DAD"/>
      <x:name val="Noto Sans CJK KR"/>
    </x:font>
  </x:fonts>
  <x:fills count="8">
    <x:fill>
      <x:patternFill patternType="none"/>
    </x:fill>
    <x:fill>
      <x:patternFill patternType="gray125"/>
    </x:fill>
    <x:fill>
      <x:patternFill patternType="solid">
        <x:fgColor rgb="FFFFFFFF"/>
      </x:patternFill>
    </x:fill>
    <x:fill>
      <x:patternFill patternType="solid">
        <x:fgColor rgb="FF203F52"/>
      </x:patternFill>
    </x:fill>
    <x:fill>
      <x:patternFill patternType="solid">
        <x:fgColor rgb="FFF5F8FA"/>
      </x:patternFill>
    </x:fill>
    <x:fill>
      <x:patternFill patternType="solid">
        <x:fgColor rgb="FFFFF3D9"/>
      </x:patternFill>
    </x:fill>
    <x:fill>
      <x:patternFill patternType="solid">
        <x:fgColor rgb="FFEAF4EF"/>
      </x:patternFill>
    </x:fill>
    <x:fill>
      <x:patternFill patternType="solid">
        <x:fgColor rgb="FFEDF4F9"/>
      </x:patternFill>
    </x:fill>
  </x:fills>
  <x:borders count="5">
    <x:border>
      <x:left/>
      <x:right/>
      <x:top/>
      <x:bottom/>
      <x:diagonal/>
    </x:border>
    <x:border>
      <x:left/>
      <x:right/>
      <x:top/>
      <x:bottom style="thin">
        <x:color rgb="FFD8E2E8"/>
      </x:bottom>
      <x:diagonal/>
    </x:border>
    <x:border>
      <x:left/>
      <x:right/>
      <x:top style="thin">
        <x:color rgb="FFD8E2E8"/>
      </x:top>
      <x:bottom style="thin">
        <x:color rgb="FFD8E2E8"/>
      </x:bottom>
      <x:diagonal/>
    </x:border>
    <x:border>
      <x:left/>
      <x:right/>
      <x:top style="thin">
        <x:color rgb="FFD8E2E8"/>
      </x:top>
      <x:bottom/>
      <x:diagonal/>
    </x:border>
    <x:border>
      <x:left/>
      <x:right/>
      <x:top style="medium">
        <x:color rgb="FF166D73"/>
      </x:top>
      <x:bottom style="thin">
        <x:color rgb="FFD8E2E8"/>
      </x:bottom>
      <x:diagonal/>
    </x:border>
  </x:borders>
  <x:cellStyleXfs count="1">
    <x:xf numFmtId="0" fontId="0" fillId="0" borderId="0"/>
  </x:cellStyleXfs>
  <x:cellXfs count="7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2" fillId="3" borderId="0"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2" fillId="3"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left" vertical="center"/>
    </x:xf>
    <x:xf numFmtId="0" fontId="1" fillId="2" borderId="1" xfId="0" applyNumberFormat="1" applyFont="1" applyFill="1" applyBorder="1" applyAlignment="1">
      <x:alignment horizontal="left" vertical="center"/>
    </x:xf>
    <x:xf numFmtId="0" fontId="1" fillId="2" borderId="2" xfId="0" applyNumberFormat="1" applyFont="1" applyFill="1" applyBorder="1" applyAlignment="1">
      <x:alignment horizontal="left" vertical="center"/>
    </x:xf>
    <x:xf numFmtId="0" fontId="1" fillId="2" borderId="3" xfId="0" applyNumberFormat="1" applyFont="1" applyFill="1" applyBorder="1" applyAlignment="1">
      <x:alignment horizontal="left" vertical="center"/>
    </x:xf>
    <x:xf numFmtId="0" fontId="1" fillId="2" borderId="1" xfId="0" applyNumberFormat="1" applyFont="1" applyFill="1" applyBorder="1" applyAlignment="1">
      <x:alignment horizontal="left" vertical="center" wrapText="1"/>
    </x:xf>
    <x:xf numFmtId="0" fontId="1" fillId="2" borderId="2" xfId="0" applyNumberFormat="1" applyFont="1" applyFill="1" applyBorder="1" applyAlignment="1">
      <x:alignment horizontal="left" vertical="center" wrapText="1"/>
    </x:xf>
    <x:xf numFmtId="0" fontId="1" fillId="2" borderId="3" xfId="0" applyNumberFormat="1" applyFont="1" applyFill="1" applyBorder="1" applyAlignment="1">
      <x:alignment horizontal="left" vertical="center" wrapText="1"/>
    </x:xf>
    <x:xf numFmtId="0" fontId="1" fillId="4" borderId="2" xfId="0" applyNumberFormat="1" applyFont="1" applyFill="1" applyBorder="1" applyAlignment="1">
      <x:alignment horizontal="left" vertical="center"/>
    </x:xf>
    <x:xf numFmtId="0" fontId="1" fillId="4" borderId="2" xfId="0" applyNumberFormat="1" applyFont="1" applyFill="1" applyBorder="1" applyAlignment="1">
      <x:alignment horizontal="left" vertical="center" wrapText="1"/>
    </x:xf>
    <x:xf numFmtId="0" fontId="3"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200" fontId="1" fillId="2" borderId="0" xfId="0" applyNumberFormat="1" applyFont="1" applyFill="1" applyBorder="1" applyAlignment="1">
      <x:alignment vertical="center"/>
    </x:xf>
    <x:xf numFmtId="200" fontId="5" fillId="2" borderId="0" xfId="0" applyNumberFormat="1" applyFont="1" applyFill="1" applyBorder="1" applyAlignment="1">
      <x:alignment vertical="center"/>
    </x:xf>
    <x:xf numFmtId="200" fontId="5" fillId="2" borderId="0" xfId="0" applyNumberFormat="1" applyFont="1" applyFill="1" applyBorder="1" applyAlignment="1">
      <x:alignment horizontal="left" vertical="center"/>
    </x:xf>
    <x:xf numFmtId="201" fontId="1" fillId="2" borderId="1" xfId="0" applyNumberFormat="1" applyFont="1" applyFill="1" applyBorder="1" applyAlignment="1">
      <x:alignment horizontal="left" vertical="center"/>
    </x:xf>
    <x:xf numFmtId="201" fontId="1" fillId="4" borderId="2" xfId="0" applyNumberFormat="1" applyFont="1" applyFill="1" applyBorder="1" applyAlignment="1">
      <x:alignment horizontal="left" vertical="center"/>
    </x:xf>
    <x:xf numFmtId="201" fontId="1" fillId="2" borderId="2" xfId="0" applyNumberFormat="1" applyFont="1" applyFill="1" applyBorder="1" applyAlignment="1">
      <x:alignment horizontal="left" vertical="center"/>
    </x:xf>
    <x:xf numFmtId="201" fontId="1" fillId="2" borderId="3" xfId="0" applyNumberFormat="1" applyFont="1" applyFill="1" applyBorder="1" applyAlignment="1">
      <x:alignment horizontal="left" vertical="center"/>
    </x:xf>
    <x:xf numFmtId="201" fontId="1" fillId="2" borderId="1" xfId="0" applyNumberFormat="1" applyFont="1" applyFill="1" applyBorder="1" applyAlignment="1">
      <x:alignment horizontal="right" vertical="center"/>
    </x:xf>
    <x:xf numFmtId="201" fontId="1" fillId="4" borderId="2" xfId="0" applyNumberFormat="1" applyFont="1" applyFill="1" applyBorder="1" applyAlignment="1">
      <x:alignment horizontal="right" vertical="center"/>
    </x:xf>
    <x:xf numFmtId="201" fontId="1" fillId="2" borderId="2" xfId="0" applyNumberFormat="1" applyFont="1" applyFill="1" applyBorder="1" applyAlignment="1">
      <x:alignment horizontal="right" vertical="center"/>
    </x:xf>
    <x:xf numFmtId="201" fontId="1" fillId="2" borderId="3" xfId="0" applyNumberFormat="1" applyFont="1" applyFill="1" applyBorder="1" applyAlignment="1">
      <x:alignment horizontal="right" vertical="center"/>
    </x:xf>
    <x:xf numFmtId="0" fontId="6" fillId="2" borderId="1" xfId="0" applyNumberFormat="1" applyFont="1" applyFill="1" applyBorder="1" applyAlignment="1">
      <x:alignment horizontal="left" vertical="center" wrapText="1"/>
    </x:xf>
    <x:xf numFmtId="201" fontId="6" fillId="2" borderId="1" xfId="0" applyNumberFormat="1" applyFont="1" applyFill="1" applyBorder="1" applyAlignment="1">
      <x:alignment horizontal="right" vertical="center"/>
    </x:xf>
    <x:xf numFmtId="0" fontId="6" fillId="4" borderId="2" xfId="0" applyNumberFormat="1" applyFont="1" applyFill="1" applyBorder="1" applyAlignment="1">
      <x:alignment horizontal="left" vertical="center" wrapText="1"/>
    </x:xf>
    <x:xf numFmtId="201" fontId="6" fillId="4" borderId="2" xfId="0" applyNumberFormat="1" applyFont="1" applyFill="1" applyBorder="1" applyAlignment="1">
      <x:alignment horizontal="right" vertical="center"/>
    </x:xf>
    <x:xf numFmtId="0" fontId="6" fillId="2" borderId="2" xfId="0" applyNumberFormat="1" applyFont="1" applyFill="1" applyBorder="1" applyAlignment="1">
      <x:alignment horizontal="left" vertical="center" wrapText="1"/>
    </x:xf>
    <x:xf numFmtId="201" fontId="6" fillId="2" borderId="2" xfId="0" applyNumberFormat="1" applyFont="1" applyFill="1" applyBorder="1" applyAlignment="1">
      <x:alignment horizontal="right" vertical="center"/>
    </x:xf>
    <x:xf numFmtId="0" fontId="6" fillId="2" borderId="3" xfId="0" applyNumberFormat="1" applyFont="1" applyFill="1" applyBorder="1" applyAlignment="1">
      <x:alignment horizontal="left" vertical="center" wrapText="1"/>
    </x:xf>
    <x:xf numFmtId="201" fontId="6" fillId="2" borderId="3" xfId="0" applyNumberFormat="1" applyFont="1" applyFill="1" applyBorder="1" applyAlignment="1">
      <x:alignment horizontal="right" vertical="center"/>
    </x:xf>
    <x:xf numFmtId="0" fontId="1" fillId="2" borderId="1" xfId="0" applyNumberFormat="1" applyFont="1" applyFill="1" applyBorder="1" applyAlignment="1">
      <x:alignment horizontal="center" vertical="center" wrapText="1"/>
    </x:xf>
    <x:xf numFmtId="0" fontId="1" fillId="4" borderId="2"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left" vertical="center"/>
    </x:xf>
    <x:xf numFmtId="0" fontId="1" fillId="2" borderId="4" xfId="0" applyNumberFormat="1" applyFont="1" applyFill="1" applyBorder="1" applyAlignment="1">
      <x:alignment horizontal="left" vertical="center" wrapText="1"/>
    </x:xf>
    <x:xf numFmtId="0" fontId="6" fillId="2" borderId="4" xfId="0" applyNumberFormat="1" applyFont="1" applyFill="1" applyBorder="1" applyAlignment="1">
      <x:alignment horizontal="left" vertical="center" wrapText="1"/>
    </x:xf>
    <x:xf numFmtId="201" fontId="6" fillId="2" borderId="4" xfId="0" applyNumberFormat="1" applyFont="1" applyFill="1" applyBorder="1" applyAlignment="1">
      <x:alignment horizontal="right" vertical="center"/>
    </x:xf>
    <x:xf numFmtId="0" fontId="1" fillId="2" borderId="4" xfId="0" applyNumberFormat="1" applyFont="1" applyFill="1" applyBorder="1" applyAlignment="1">
      <x:alignment horizontal="center" vertical="center" wrapText="1"/>
    </x:xf>
    <x:xf numFmtId="0" fontId="7" fillId="2" borderId="4" xfId="0" applyNumberFormat="1" applyFont="1" applyFill="1" applyBorder="1" applyAlignment="1">
      <x:alignment horizontal="left" vertical="center"/>
    </x:xf>
    <x:xf numFmtId="0" fontId="1" fillId="5" borderId="2" xfId="0" applyNumberFormat="1" applyFont="1" applyFill="1" applyBorder="1" applyAlignment="1">
      <x:alignment horizontal="center" vertical="center" wrapText="1"/>
    </x:xf>
    <x:xf numFmtId="0" fontId="1" fillId="6" borderId="2" xfId="0" applyNumberFormat="1" applyFont="1" applyFill="1" applyBorder="1" applyAlignment="1">
      <x:alignment horizontal="center" vertical="center" wrapText="1"/>
    </x:xf>
    <x:xf numFmtId="0" fontId="1" fillId="5" borderId="4" xfId="0" applyNumberFormat="1" applyFont="1" applyFill="1" applyBorder="1" applyAlignment="1">
      <x:alignment horizontal="center" vertical="center" wrapText="1"/>
    </x:xf>
    <x:xf numFmtId="0" fontId="1" fillId="6" borderId="4" xfId="0" applyNumberFormat="1" applyFont="1" applyFill="1" applyBorder="1" applyAlignment="1">
      <x:alignment horizontal="center" vertical="center" wrapText="1"/>
    </x:xf>
    <x:xf numFmtId="0" fontId="1" fillId="4" borderId="4" xfId="0" applyNumberFormat="1" applyFont="1" applyFill="1" applyBorder="1" applyAlignment="1">
      <x:alignment horizontal="left" vertical="center"/>
    </x:xf>
    <x:xf numFmtId="0" fontId="1" fillId="4" borderId="4" xfId="0" applyNumberFormat="1" applyFont="1" applyFill="1" applyBorder="1" applyAlignment="1">
      <x:alignment horizontal="left" vertical="center" wrapText="1"/>
    </x:xf>
    <x:xf numFmtId="0" fontId="6" fillId="4" borderId="4" xfId="0" applyNumberFormat="1" applyFont="1" applyFill="1" applyBorder="1" applyAlignment="1">
      <x:alignment horizontal="left" vertical="center" wrapText="1"/>
    </x:xf>
    <x:xf numFmtId="201" fontId="6" fillId="4" borderId="4" xfId="0" applyNumberFormat="1" applyFont="1" applyFill="1" applyBorder="1" applyAlignment="1">
      <x:alignment horizontal="right" vertical="center"/>
    </x:xf>
    <x:xf numFmtId="0" fontId="1" fillId="4" borderId="4" xfId="0" applyNumberFormat="1" applyFont="1" applyFill="1" applyBorder="1" applyAlignment="1">
      <x:alignment horizontal="center" vertical="center" wrapText="1"/>
    </x:xf>
    <x:xf numFmtId="0" fontId="7" fillId="4" borderId="4" xfId="0" applyNumberFormat="1" applyFont="1" applyFill="1" applyBorder="1" applyAlignment="1">
      <x:alignment horizontal="left" vertical="center"/>
    </x:xf>
    <x:xf numFmtId="0" fontId="1" fillId="6" borderId="3"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x:xf>
    <x:xf numFmtId="0" fontId="1" fillId="4" borderId="2" xfId="0" applyNumberFormat="1" applyFont="1" applyFill="1" applyBorder="1" applyAlignment="1">
      <x:alignment horizontal="center" vertical="center"/>
    </x:xf>
    <x:xf numFmtId="0" fontId="1" fillId="2" borderId="2" xfId="0" applyNumberFormat="1" applyFont="1" applyFill="1" applyBorder="1" applyAlignment="1">
      <x:alignment horizontal="center" vertical="center"/>
    </x:xf>
    <x:xf numFmtId="0" fontId="1" fillId="2" borderId="3" xfId="0" applyNumberFormat="1" applyFont="1" applyFill="1" applyBorder="1" applyAlignment="1">
      <x:alignment horizontal="center" vertical="center"/>
    </x:xf>
    <x:xf numFmtId="0" fontId="1" fillId="6" borderId="1" xfId="0" applyNumberFormat="1" applyFont="1" applyFill="1" applyBorder="1" applyAlignment="1">
      <x:alignment horizontal="center" vertical="center" wrapText="1"/>
    </x:xf>
    <x:xf numFmtId="0" fontId="1" fillId="7" borderId="2" xfId="0" applyNumberFormat="1" applyFont="1" applyFill="1" applyBorder="1" applyAlignment="1">
      <x:alignment horizontal="center" vertical="center" wrapText="1"/>
    </x:xf>
    <x:xf numFmtId="0" fontId="1" fillId="5" borderId="2" xfId="0" applyNumberFormat="1" applyFont="1" applyFill="1" applyBorder="1" applyAlignment="1">
      <x:alignment horizontal="left" vertical="center" wrapText="1"/>
    </x:xf>
    <x:xf numFmtId="0" fontId="1" fillId="4" borderId="3" xfId="0" applyNumberFormat="1" applyFont="1" applyFill="1" applyBorder="1" applyAlignment="1">
      <x:alignment horizontal="left" vertical="center" wrapText="1"/>
    </x:xf>
    <x:xf numFmtId="0" fontId="1" fillId="4" borderId="3" xfId="0" applyNumberFormat="1" applyFont="1" applyFill="1" applyBorder="1" applyAlignment="1">
      <x:alignment horizontal="left" vertical="center"/>
    </x:xf>
    <x:xf numFmtId="201" fontId="1" fillId="4" borderId="3" xfId="0" applyNumberFormat="1" applyFont="1" applyFill="1" applyBorder="1" applyAlignment="1">
      <x:alignment horizontal="left" vertical="center"/>
    </x:xf>
    <x:xf numFmtId="201" fontId="1" fillId="4" borderId="3" xfId="0" applyNumberFormat="1" applyFont="1" applyFill="1" applyBorder="1" applyAlignment="1">
      <x:alignment horizontal="right" vertical="center"/>
    </x:xf>
    <x:xf numFmtId="0" fontId="8" fillId="2" borderId="1" xfId="0" applyNumberFormat="1" applyFont="1" applyFill="1" applyBorder="1" applyAlignment="1">
      <x:alignment horizontal="left" vertical="center" wrapText="1"/>
    </x:xf>
    <x:xf numFmtId="0" fontId="8" fillId="4" borderId="2" xfId="0" applyNumberFormat="1" applyFont="1" applyFill="1" applyBorder="1" applyAlignment="1">
      <x:alignment horizontal="left" vertical="center" wrapText="1"/>
    </x:xf>
    <x:xf numFmtId="0" fontId="8" fillId="2" borderId="2" xfId="0" applyNumberFormat="1" applyFont="1" applyFill="1" applyBorder="1" applyAlignment="1">
      <x:alignment horizontal="left" vertical="center" wrapText="1"/>
    </x:xf>
    <x:xf numFmtId="0" fontId="8" fillId="4" borderId="3" xfId="0" applyNumberFormat="1" applyFont="1" applyFill="1" applyBorder="1" applyAlignment="1">
      <x:alignment horizontal="left" vertical="center" wrapText="1"/>
    </x:xf>
    <x:xf numFmtId="0" fontId="1" fillId="4" borderId="3" xfId="0" applyNumberFormat="1" applyFont="1" applyFill="1" applyBorder="1" applyAlignment="1">
      <x:alignment horizontal="center" vertical="center"/>
    </x:xf>
    <x:xf numFmtId="0" fontId="1" fillId="4" borderId="3"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b661e0b53dc4b38" /><Relationship Type="http://schemas.openxmlformats.org/officeDocument/2006/relationships/theme" Target="/xl/theme/theme1.xml" Id="Rb98b9075eca8402a" /><Relationship Type="http://schemas.openxmlformats.org/officeDocument/2006/relationships/sharedStrings" Target="/xl/sharedStrings.xml" Id="R24c365f62c434ba6" /><Relationship Type="http://schemas.openxmlformats.org/officeDocument/2006/relationships/worksheet" Target="/xl/worksheets/sheet1.xml" Id="Rb9be2e01cdc7492d" /><Relationship Type="http://schemas.openxmlformats.org/officeDocument/2006/relationships/worksheet" Target="/xl/worksheets/sheet2.xml" Id="R7c3c83f95206492b" /><Relationship Type="http://schemas.openxmlformats.org/officeDocument/2006/relationships/worksheet" Target="/xl/worksheets/sheet3.xml" Id="R20bcf10f67274832" /></Relationships>
</file>

<file path=xl/tables/table1.xml><?xml version="1.0" encoding="utf-8"?>
<x:table xmlns:x="http://schemas.openxmlformats.org/spreadsheetml/2006/main" id="1" name="SceneConnections" displayName="SceneConnections" ref="A6:M221" headerRowCount="1" totalsRowCount="0" totalsRowShown="0">
  <x:autoFilter ref="A6:M221"/>
  <x:tableColumns count="13">
    <x:tableColumn id="1" name="챕터"/>
    <x:tableColumn id="2" name="씬 ID"/>
    <x:tableColumn id="3" name="씬 제목"/>
    <x:tableColumn id="4" name="이 씬에서 배우는 내용"/>
    <x:tableColumn id="5" name="대표 기출"/>
    <x:tableColumn id="6" name="정답&#10;번호"/>
    <x:tableColumn id="7" name="연결 방식"/>
    <x:tableColumn id="8" name="전체 문제 풀이 위치"/>
    <x:tableColumn id="9" name="기출 안의 연결 부분"/>
    <x:tableColumn id="10" name="연결 이유"/>
    <x:tableColumn id="11" name="추가 복습 후보"/>
    <x:tableColumn id="12" name="문제 직전 기록책 제안"/>
    <x:tableColumn id="13" name="제작 메모"/>
  </x:tableColumns>
  <x:tableStyleInfo name="TableStyleMedium2" showFirstColumn="0" showLastColumn="0" showRowStripes="1" showColumnStripes="0"/>
</x:table>
</file>

<file path=xl/tables/table2.xml><?xml version="1.0" encoding="utf-8"?>
<x:table xmlns:x="http://schemas.openxmlformats.org/spreadsheetml/2006/main" id="2" name="QuestionPlayOrder" displayName="QuestionPlayOrder" ref="A6:N105" headerRowCount="1" totalsRowCount="0" totalsRowShown="0">
  <x:autoFilter ref="A6:N105"/>
  <x:tableColumns count="14">
    <x:tableColumn id="1" name="순서"/>
    <x:tableColumn id="2" name="전체 문제 풀이 씬"/>
    <x:tableColumn id="3" name="씬 제목"/>
    <x:tableColumn id="4" name="회차"/>
    <x:tableColumn id="5" name="유형"/>
    <x:tableColumn id="6" name="문항"/>
    <x:tableColumn id="7" name="정답"/>
    <x:tableColumn id="8" name="출제 구분"/>
    <x:tableColumn id="9" name="문항 핵심"/>
    <x:tableColumn id="10" name="함께 연결된 씬"/>
    <x:tableColumn id="11" name="이 발화가 끝난 뒤 출제"/>
    <x:tableColumn id="12" name="문제 직전 기록책 제안"/>
    <x:tableColumn id="13" name="이 시점에 제공할 해설"/>
    <x:tableColumn id="14" name="문항 ID"/>
  </x:tableColumns>
  <x:tableStyleInfo name="TableStyleMedium2" showFirstColumn="0" showLastColumn="0" showRowStripes="1" showColumnStripes="0"/>
</x:table>
</file>

<file path=xl/tables/table3.xml><?xml version="1.0" encoding="utf-8"?>
<x:table xmlns:x="http://schemas.openxmlformats.org/spreadsheetml/2006/main" id="3" name="VerifiedQuestionLedger" displayName="VerifiedQuestionLedger" ref="A6:Q128" headerRowCount="1" totalsRowCount="0" totalsRowShown="0">
  <x:autoFilter ref="A6:Q128"/>
  <x:tableColumns count="17">
    <x:tableColumn id="1" name="문항 ID"/>
    <x:tableColumn id="2" name="회차"/>
    <x:tableColumn id="3" name="유형"/>
    <x:tableColumn id="4" name="문항"/>
    <x:tableColumn id="5" name="정답"/>
    <x:tableColumn id="6" name="선정 상태"/>
    <x:tableColumn id="7" name="문항 핵심"/>
    <x:tableColumn id="8" name="발문 유형"/>
    <x:tableColumn id="9" name="원문 자료의 단서"/>
    <x:tableColumn id="10" name="원문 기준 해설"/>
    <x:tableColumn id="11" name="원문 URL"/>
    <x:tableColumn id="12" name="공식 정답 URL"/>
    <x:tableColumn id="13" name="첫 대표 출제 씬"/>
    <x:tableColumn id="14" name="연결 수"/>
    <x:tableColumn id="15" name="원문 확인 방식"/>
    <x:tableColumn id="16" name="원본 문제지 이름"/>
    <x:tableColumn id="17" name="PDF 쪽"/>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b731d0f5cff498f" /></Relationships>
</file>

<file path=xl/worksheets/_rels/sheet2.xml.rels>&#65279;<?xml version="1.0" encoding="utf-8"?><Relationships xmlns="http://schemas.openxmlformats.org/package/2006/relationships"><Relationship Type="http://schemas.openxmlformats.org/officeDocument/2006/relationships/table" Target="/xl/tables/table2.xml" Id="R8bbc0ccccba346c5" /></Relationships>
</file>

<file path=xl/worksheets/_rels/sheet3.xml.rels>&#65279;<?xml version="1.0" encoding="utf-8"?><Relationships xmlns="http://schemas.openxmlformats.org/package/2006/relationships"><Relationship Type="http://schemas.openxmlformats.org/officeDocument/2006/relationships/table" Target="/xl/tables/table3.xml" Id="Rf25d416c171b44ef" /></Relationships>
</file>

<file path=xl/worksheets/sheet1.xml><?xml version="1.0" encoding="utf-8"?>
<x:worksheet xmlns:x="http://schemas.openxmlformats.org/spreadsheetml/2006/main">
  <x:sheetPr>
    <x:tabColor rgb="FF166D73"/>
  </x:sheetPr>
  <x:sheetViews>
    <x:sheetView showGridLines="0" workbookViewId="0">
      <x:pane xSplit="2" ySplit="6" topLeftCell="C7" activePane="bottomRight" state="frozen"/>
    </x:sheetView>
  </x:sheetViews>
  <x:sheetFormatPr defaultRowHeight="15"/>
  <x:cols>
    <x:col min="1" max="1" width="7.329999923706055" hidden="0" customWidth="1"/>
    <x:col min="2" max="2" width="20.670000076293945" hidden="0" customWidth="1"/>
    <x:col min="3" max="3" width="23.780000686645508" hidden="0" customWidth="1"/>
    <x:col min="4" max="4" width="34.66999816894531" hidden="0" customWidth="1"/>
    <x:col min="5" max="5" width="16.219999313354492" hidden="0" customWidth="1"/>
    <x:col min="6" max="6" width="6.889999866485596" hidden="0" customWidth="1"/>
    <x:col min="7" max="7" width="10.109999656677246" hidden="0" customWidth="1"/>
    <x:col min="8" max="8" width="17" hidden="0" customWidth="1"/>
    <x:col min="9" max="9" width="27.559999465942383" hidden="0" customWidth="1"/>
    <x:col min="10" max="10" width="39.11000061035156" hidden="0" customWidth="1"/>
    <x:col min="11" max="11" width="42.88999938964844" hidden="0" customWidth="1"/>
    <x:col min="12" max="12" width="41.33000183105469" hidden="0" customWidth="1"/>
    <x:col min="13" max="13" width="42.439998626708984" hidden="0" customWidth="1"/>
  </x:cols>
  <x:sheetData>
    <x:row r="1" ht="9" customHeight="1">
      <x:c r="A1" s="3"/>
      <x:c r="B1" s="3"/>
      <x:c r="C1" s="3"/>
      <x:c r="D1" s="3"/>
      <x:c r="E1" s="3"/>
      <x:c r="F1" s="3"/>
      <x:c r="G1" s="3"/>
      <x:c r="H1" s="3"/>
      <x:c r="I1" s="3"/>
      <x:c r="J1" s="3"/>
      <x:c r="K1" s="3"/>
      <x:c r="L1" s="3"/>
      <x:c r="M1" s="3"/>
    </x:row>
    <x:row r="2" ht="25.5" customHeight="1">
      <x:c r="A2" s="17" t="str">
        <x:v>씬별 연결</x:v>
      </x:c>
      <x:c r="B2" s="3"/>
      <x:c r="C2" s="3"/>
      <x:c r="D2" s="18" t="str">
        <x:v>눈떠보니 삼국 · 23챕터 · 프롤로그 별도</x:v>
      </x:c>
      <x:c r="E2" s="3"/>
      <x:c r="F2" s="3"/>
      <x:c r="G2" s="3"/>
      <x:c r="H2" s="3"/>
      <x:c r="I2" s="3"/>
      <x:c r="J2" s="3"/>
      <x:c r="K2" s="3"/>
      <x:c r="L2" s="3"/>
      <x:c r="M2" s="3"/>
    </x:row>
    <x:row r="3" ht="20.25" customHeight="1">
      <x:c r="A3" s="18" t="str">
        <x:v>본편 씬</x:v>
      </x:c>
      <x:c r="B3" s="21" t="n">
        <x:f>COUNTA(B7:B221)</x:f>
        <x:v>215</x:v>
      </x:c>
      <x:c r="C3" s="3"/>
      <x:c r="D3" s="3"/>
      <x:c r="E3" s="18" t="str">
        <x:v>대표 연결</x:v>
      </x:c>
      <x:c r="F3" s="21" t="n">
        <x:f>COUNTA(E7:E221)</x:f>
        <x:v>215</x:v>
      </x:c>
      <x:c r="G3" s="3"/>
      <x:c r="H3" s="3"/>
      <x:c r="I3" s="18" t="str">
        <x:v>추가 연결</x:v>
      </x:c>
      <x:c r="J3" s="21" t="n">
        <x:f>302-COUNTA(E7:E221)</x:f>
        <x:v>87</x:v>
      </x:c>
      <x:c r="K3" s="3"/>
      <x:c r="L3" s="3"/>
      <x:c r="M3" s="3"/>
    </x:row>
    <x:row r="4" ht="20.25" customHeight="1">
      <x:c r="A4" s="18" t="str">
        <x:v>대표 연결을 확인하고 오른쪽에서 이유·추가 후보를 읽으세요. 답 번호와 메모는 제작자용입니다.</x:v>
      </x:c>
      <x:c r="B4" s="3"/>
      <x:c r="C4" s="3"/>
      <x:c r="D4" s="3"/>
      <x:c r="E4" s="3"/>
      <x:c r="F4" s="3"/>
      <x:c r="G4" s="3"/>
      <x:c r="H4" s="3"/>
      <x:c r="I4" s="3"/>
      <x:c r="J4" s="3"/>
      <x:c r="K4" s="3"/>
      <x:c r="L4" s="3"/>
      <x:c r="M4" s="3"/>
    </x:row>
    <x:row r="5" ht="9" customHeight="1">
      <x:c r="A5" s="3"/>
      <x:c r="B5" s="3"/>
      <x:c r="C5" s="3"/>
      <x:c r="D5" s="3"/>
      <x:c r="E5" s="3"/>
      <x:c r="F5" s="3"/>
      <x:c r="G5" s="3"/>
      <x:c r="H5" s="3"/>
      <x:c r="I5" s="3"/>
      <x:c r="J5" s="3"/>
      <x:c r="K5" s="3"/>
      <x:c r="L5" s="3"/>
      <x:c r="M5" s="3"/>
    </x:row>
    <x:row r="6" ht="30" customHeight="1">
      <x:c r="A6" s="7" t="str">
        <x:v>챕터</x:v>
      </x:c>
      <x:c r="B6" s="7" t="str">
        <x:v>씬 ID</x:v>
      </x:c>
      <x:c r="C6" s="7" t="str">
        <x:v>씬 제목</x:v>
      </x:c>
      <x:c r="D6" s="7" t="str">
        <x:v>이 씬에서 배우는 내용</x:v>
      </x:c>
      <x:c r="E6" s="7" t="str">
        <x:v>대표 기출</x:v>
      </x:c>
      <x:c r="F6" s="7" t="str">
        <x:v>정답
번호</x:v>
      </x:c>
      <x:c r="G6" s="7" t="str">
        <x:v>연결 방식</x:v>
      </x:c>
      <x:c r="H6" s="7" t="str">
        <x:v>전체 문제 풀이 위치</x:v>
      </x:c>
      <x:c r="I6" s="7" t="str">
        <x:v>기출 안의 연결 부분</x:v>
      </x:c>
      <x:c r="J6" s="7" t="str">
        <x:v>연결 이유</x:v>
      </x:c>
      <x:c r="K6" s="7" t="str">
        <x:v>추가 복습 후보</x:v>
      </x:c>
      <x:c r="L6" s="7" t="str">
        <x:v>문제 직전 기록책 제안</x:v>
      </x:c>
      <x:c r="M6" s="7" t="str">
        <x:v>제작 메모</x:v>
      </x:c>
    </x:row>
    <x:row r="7" ht="53.25" customHeight="1">
      <x:c r="A7" s="47" t="str">
        <x:v>CH01</x:v>
      </x:c>
      <x:c r="B7" s="42" t="str">
        <x:v>THR-C01-S01</x:v>
      </x:c>
      <x:c r="C7" s="43" t="str">
        <x:v>빈 자루의 줄</x:v>
      </x:c>
      <x:c r="D7" s="43" t="str">
        <x:v>춘궁기의 굶주림과 구휼의 필요</x:v>
      </x:c>
      <x:c r="E7" s="44" t="str">
        <x:v>64회 심화 3번</x:v>
      </x:c>
      <x:c r="F7" s="45" t="n">
        <x:v>3</x:v>
      </x:c>
      <x:c r="G7" s="46" t="str">
        <x:v>서사연결</x:v>
      </x:c>
      <x:c r="H7" s="43" t="str">
        <x:v>C01-S06
공통 연결 뒤</x:v>
      </x:c>
      <x:c r="I7" s="43" t="str">
        <x:v>정답선지③ · 진대법</x:v>
      </x:c>
      <x:c r="J7" s="43" t="str">
        <x:v>배급 줄의 굶주림은 진대법을 배우는 문제 상황이다. 제도 이름과 대여·상환을 배운 뒤 출제한다.</x:v>
      </x:c>
      <x:c r="K7" s="43" t="str">
        <x:v>—</x:v>
      </x:c>
      <x:c r="L7" s="43" t="str">
        <x:v>기록책: 문제에 나온 안악 3호분 벽화는 고구려의 자료다. 이 나라가 굶주린 백성에게 마련한 제도를 지금 본 장부와 연결해 보자.</x:v>
      </x:c>
      <x:c r="M7" s="43" t="str">
        <x:v>도입에서는 가족을 돕는 대사에 집중하고, 문항 풀이는 첫 대여 장부 뒤에 둔다.</x:v>
      </x:c>
    </x:row>
    <x:row r="8" ht="53.25" customHeight="1">
      <x:c r="A8" s="15" t="str">
        <x:v>CH01</x:v>
      </x:c>
      <x:c r="B8" s="15" t="str">
        <x:v>THR-C01-S02</x:v>
      </x:c>
      <x:c r="C8" s="16" t="str">
        <x:v>잠긴 창고</x:v>
      </x:c>
      <x:c r="D8" s="16" t="str">
        <x:v>관곡을 내줄 공적 근거</x:v>
      </x:c>
      <x:c r="E8" s="32" t="str">
        <x:v>64회 심화 3번</x:v>
      </x:c>
      <x:c r="F8" s="33" t="n">
        <x:v>3</x:v>
      </x:c>
      <x:c r="G8" s="39" t="str">
        <x:v>서사연결</x:v>
      </x:c>
      <x:c r="H8" s="16" t="str">
        <x:v>C01-S06
공통 연결 뒤</x:v>
      </x:c>
      <x:c r="I8" s="16" t="str">
        <x:v>정답선지③ · 진대법</x:v>
      </x:c>
      <x:c r="J8" s="16" t="str">
        <x:v>개인이 가진 열쇠와 관의 구휼 명령을 구별하는 갈등을 진대법의 필요와 연결한다.</x:v>
      </x:c>
      <x:c r="K8" s="16" t="str">
        <x:v>—</x:v>
      </x:c>
      <x:c r="L8" s="16" t="str">
        <x:v>기록책: 문제에 나온 안악 3호분 벽화는 고구려의 자료다. 이 나라가 굶주린 백성에게 마련한 제도를 지금 본 장부와 연결해 보자.</x:v>
      </x:c>
      <x:c r="M8" s="16" t="str">
        <x:v>—</x:v>
      </x:c>
    </x:row>
    <x:row r="9" ht="53.25" customHeight="1">
      <x:c r="A9" s="10" t="str">
        <x:v>CH01</x:v>
      </x:c>
      <x:c r="B9" s="10" t="str">
        <x:v>THR-C01-S03</x:v>
      </x:c>
      <x:c r="C9" s="13" t="str">
        <x:v>누구의 부인가</x:v>
      </x:c>
      <x:c r="D9" s="13" t="str">
        <x:v>부족적 5부에서 행정적 성격으로의 개편</x:v>
      </x:c>
      <x:c r="E9" s="34" t="str">
        <x:v>64회 심화 3번</x:v>
      </x:c>
      <x:c r="F9" s="35" t="n">
        <x:v>3</x:v>
      </x:c>
      <x:c r="G9" s="40" t="str">
        <x:v>관련복습</x:v>
      </x:c>
      <x:c r="H9" s="13" t="str">
        <x:v>C01-S06
공통 연결 뒤</x:v>
      </x:c>
      <x:c r="I9" s="13" t="str">
        <x:v>정답선지③ · 진대법</x:v>
      </x:c>
      <x:c r="J9" s="13" t="str">
        <x:v>고국천왕대 국가의 행정과 백성 구제라는 맥락을 공유한다. 5부 개편 자체를 묻는 문항으로 표시하지 않는다.</x:v>
      </x:c>
      <x:c r="K9" s="13" t="str">
        <x:v>1. 61회 심화 4번 · ①
선지학습 · 오답선지④ · 을파소 등용·진대법
→ C03-S07 공통 연결 뒤</x:v>
      </x:c>
      <x:c r="L9" s="13" t="str">
        <x:v>기록책: 문제에 나온 안악 3호분 벽화는 고구려의 자료다. 이 나라가 굶주린 백성에게 마련한 제도를 지금 본 장부와 연결해 보자.</x:v>
      </x:c>
      <x:c r="M9" s="13" t="str">
        <x:v>확보한 문항 중 행정 5부 개편만 직접 묻는 문제는 없다. 부족 이름의 5부와 뒤의 행정 개편을 같은 시점으로 합치지 않는다.</x:v>
      </x:c>
    </x:row>
    <x:row r="10" ht="53.25" customHeight="1">
      <x:c r="A10" s="15" t="str">
        <x:v>CH01</x:v>
      </x:c>
      <x:c r="B10" s="15" t="str">
        <x:v>THR-C01-S04</x:v>
      </x:c>
      <x:c r="C10" s="16" t="str">
        <x:v>국상이 된 농부</x:v>
      </x:c>
      <x:c r="D10" s="16" t="str">
        <x:v>고국천왕의 을파소 등용</x:v>
      </x:c>
      <x:c r="E10" s="32" t="str">
        <x:v>61회 심화 4번</x:v>
      </x:c>
      <x:c r="F10" s="33" t="n">
        <x:v>1</x:v>
      </x:c>
      <x:c r="G10" s="48" t="str">
        <x:v>선지학습</x:v>
      </x:c>
      <x:c r="H10" s="16" t="str">
        <x:v>C03-S07
공통 연결 뒤</x:v>
      </x:c>
      <x:c r="I10" s="16" t="str">
        <x:v>오답선지④ · 을파소 등용·진대법</x:v>
      </x:c>
      <x:c r="J10" s="16" t="str">
        <x:v>을파소 등용이 광개토대왕의 업적이 아닌 고국천왕의 업적임을 나중에 구별한다.</x:v>
      </x:c>
      <x:c r="K10" s="16" t="str">
        <x:v>1. 64회 심화 3번 · ③
서사연결 · 정답선지③ · 진대법
→ C01-S06 공통 연결 뒤</x:v>
      </x:c>
      <x:c r="L10" s="16" t="str">
        <x:v>기록책: 문제에 나온 안악 3호분 벽화는 고구려의 자료다. 이 나라가 굶주린 백성에게 마련한 제도를 지금 본 장부와 연결해 보자.</x:v>
      </x:c>
      <x:c r="M10" s="16" t="str">
        <x:v>61회 심화 4번의 정답은 영락이다. 을파소 선지를 정답으로 바꾼 변형 문제를 만들지 않는다.</x:v>
      </x:c>
    </x:row>
    <x:row r="11" ht="53.25" customHeight="1">
      <x:c r="A11" s="10" t="str">
        <x:v>CH01</x:v>
      </x:c>
      <x:c r="B11" s="10" t="str">
        <x:v>THR-C01-S05</x:v>
      </x:c>
      <x:c r="C11" s="13" t="str">
        <x:v>왕 앞의 계산</x:v>
      </x:c>
      <x:c r="D11" s="13" t="str">
        <x:v>진대법 제정과 대여·상환의 약속</x:v>
      </x:c>
      <x:c r="E11" s="34" t="str">
        <x:v>64회 심화 3번</x:v>
      </x:c>
      <x:c r="F11" s="35" t="n">
        <x:v>3</x:v>
      </x:c>
      <x:c r="G11" s="49" t="str">
        <x:v>직접</x:v>
      </x:c>
      <x:c r="H11" s="13" t="str">
        <x:v>C01-S06
공통 연결 뒤</x:v>
      </x:c>
      <x:c r="I11" s="13" t="str">
        <x:v>정답선지③ · 진대법</x:v>
      </x:c>
      <x:c r="J11" s="13" t="str">
        <x:v>왕이 관곡을 빌려줄 때와 돌려받을 때를 정한다. 다음 씬에서 제도 이름과 장부를 확인한 뒤 푼다.</x:v>
      </x:c>
      <x:c r="K11" s="13" t="str">
        <x:v>—</x:v>
      </x:c>
      <x:c r="L11" s="13" t="str">
        <x:v>기록책: 문제에 나온 안악 3호분 벽화는 고구려의 자료다. 이 나라가 굶주린 백성에게 마련한 제도를 지금 본 장부와 연결해 보자.</x:v>
      </x:c>
      <x:c r="M11" s="13" t="str">
        <x:v>—</x:v>
      </x:c>
    </x:row>
    <x:row r="12" ht="53.25" customHeight="1">
      <x:c r="A12" s="15" t="str">
        <x:v>CH01</x:v>
      </x:c>
      <x:c r="B12" s="15" t="str">
        <x:v>THR-C01-S06</x:v>
      </x:c>
      <x:c r="C12" s="16" t="str">
        <x:v>첫 대여 장부</x:v>
      </x:c>
      <x:c r="D12" s="16" t="str">
        <x:v>진대법의 실제 대여 장부</x:v>
      </x:c>
      <x:c r="E12" s="32" t="str">
        <x:v>64회 심화 3번</x:v>
      </x:c>
      <x:c r="F12" s="33" t="n">
        <x:v>3</x:v>
      </x:c>
      <x:c r="G12" s="49" t="str">
        <x:v>직접</x:v>
      </x:c>
      <x:c r="H12" s="16" t="str">
        <x:v>C01-S06
공통 연결 뒤</x:v>
      </x:c>
      <x:c r="I12" s="16" t="str">
        <x:v>정답선지③ · 진대법</x:v>
      </x:c>
      <x:c r="J12" s="16" t="str">
        <x:v>진대법이라는 이름, 관곡 대여, 수확 뒤 상환을 공통 본선에서 모두 확인한 뒤 푼다.</x:v>
      </x:c>
      <x:c r="K12" s="16" t="str">
        <x:v>1. 61회 심화 4번 · ①
선지학습 · 오답선지④ · 을파소 등용·진대법
→ C03-S07 공통 연결 뒤</x:v>
      </x:c>
      <x:c r="L12" s="16" t="str">
        <x:v>기록책: 문제에 나온 안악 3호분 벽화는 고구려의 자료다. 이 나라가 굶주린 백성에게 마련한 제도를 지금 본 장부와 연결해 보자.</x:v>
      </x:c>
      <x:c r="M12" s="16" t="str">
        <x:v>—</x:v>
      </x:c>
    </x:row>
    <x:row r="13" ht="42" customHeight="1">
      <x:c r="A13" s="10" t="str">
        <x:v>CH01</x:v>
      </x:c>
      <x:c r="B13" s="10" t="str">
        <x:v>THR-C01-S07</x:v>
      </x:c>
      <x:c r="C13" s="13" t="str">
        <x:v>돌아온 곡식</x:v>
      </x:c>
      <x:c r="D13" s="13" t="str">
        <x:v>진대법의 상환과 약속 이행</x:v>
      </x:c>
      <x:c r="E13" s="34" t="str">
        <x:v>64회 심화 3번</x:v>
      </x:c>
      <x:c r="F13" s="35" t="n">
        <x:v>3</x:v>
      </x:c>
      <x:c r="G13" s="49" t="str">
        <x:v>직접</x:v>
      </x:c>
      <x:c r="H13" s="13" t="str">
        <x:v>C01-S08
공통 연결 뒤</x:v>
      </x:c>
      <x:c r="I13" s="13" t="str">
        <x:v>정답선지③ · 진대법</x:v>
      </x:c>
      <x:c r="J13" s="13" t="str">
        <x:v>빌리는 장면뿐 아니라 갚는 시점까지 봤는지 장 끝에서 다시 확인한다.</x:v>
      </x:c>
      <x:c r="K13" s="13" t="str">
        <x:v>—</x:v>
      </x:c>
      <x:c r="L13" s="13" t="str">
        <x:v>—</x:v>
      </x:c>
      <x:c r="M13" s="13" t="str">
        <x:v>—</x:v>
      </x:c>
    </x:row>
    <x:row r="14" ht="42" customHeight="1">
      <x:c r="A14" s="15" t="str">
        <x:v>CH01</x:v>
      </x:c>
      <x:c r="B14" s="15" t="str">
        <x:v>THR-C01-S08</x:v>
      </x:c>
      <x:c r="C14" s="16" t="str">
        <x:v>남겨진 이름</x:v>
      </x:c>
      <x:c r="D14" s="16" t="str">
        <x:v>구휼 제도와 가족의 삶을 함께 기록</x:v>
      </x:c>
      <x:c r="E14" s="32" t="str">
        <x:v>64회 심화 3번</x:v>
      </x:c>
      <x:c r="F14" s="33" t="n">
        <x:v>3</x:v>
      </x:c>
      <x:c r="G14" s="49" t="str">
        <x:v>직접</x:v>
      </x:c>
      <x:c r="H14" s="16" t="str">
        <x:v>C01-S08
공통 연결 뒤</x:v>
      </x:c>
      <x:c r="I14" s="16" t="str">
        <x:v>정답선지③ · 진대법</x:v>
      </x:c>
      <x:c r="J14" s="16" t="str">
        <x:v>가족 이야기를 마무리한 뒤 진대법의 목적과 운영을 복습한다.</x:v>
      </x:c>
      <x:c r="K14" s="16" t="str">
        <x:v>—</x:v>
      </x:c>
      <x:c r="L14" s="16" t="str">
        <x:v>—</x:v>
      </x:c>
      <x:c r="M14" s="16" t="str">
        <x:v>같은 64회 문항의 두 번째 풀이다. 새로운 기출 한 종으로 세지 않는다.</x:v>
      </x:c>
    </x:row>
    <x:row r="15" ht="42" customHeight="1">
      <x:c r="A15" s="47" t="str">
        <x:v>CH02</x:v>
      </x:c>
      <x:c r="B15" s="42" t="str">
        <x:v>THR-C02-S01</x:v>
      </x:c>
      <x:c r="C15" s="43" t="str">
        <x:v>낯선 검문패</x:v>
      </x:c>
      <x:c r="D15" s="43" t="str">
        <x:v>미천왕대 낙랑군 축출</x:v>
      </x:c>
      <x:c r="E15" s="44" t="str">
        <x:v>65회 심화 5번</x:v>
      </x:c>
      <x:c r="F15" s="45" t="n">
        <x:v>3</x:v>
      </x:c>
      <x:c r="G15" s="50" t="str">
        <x:v>선지학습</x:v>
      </x:c>
      <x:c r="H15" s="43" t="str">
        <x:v>C03-S03
공통 연결 뒤</x:v>
      </x:c>
      <x:c r="I15" s="43" t="str">
        <x:v>오답선지② · 미천왕의 낙랑군 축출</x:v>
      </x:c>
      <x:c r="J15" s="43" t="str">
        <x:v>검문 권한이 바뀐 이유를 미천왕의 낙랑군 축출과 연결한다. 전체 연대 문항은 소수림왕까지 배운 뒤 푼다.</x:v>
      </x:c>
      <x:c r="K15" s="43" t="str">
        <x:v>—</x:v>
      </x:c>
      <x:c r="L15" s="43" t="str">
        <x:v>—</x:v>
      </x:c>
      <x:c r="M15" s="43" t="str">
        <x:v>—</x:v>
      </x:c>
    </x:row>
    <x:row r="16" ht="42" customHeight="1">
      <x:c r="A16" s="15" t="str">
        <x:v>CH02</x:v>
      </x:c>
      <x:c r="B16" s="15" t="str">
        <x:v>THR-C02-S02</x:v>
      </x:c>
      <x:c r="C16" s="16" t="str">
        <x:v>지워지는 세금표</x:v>
      </x:c>
      <x:c r="D16" s="16" t="str">
        <x:v>군현 통치가 사라진 뒤의 장부</x:v>
      </x:c>
      <x:c r="E16" s="32" t="str">
        <x:v>65회 심화 5번</x:v>
      </x:c>
      <x:c r="F16" s="33" t="n">
        <x:v>3</x:v>
      </x:c>
      <x:c r="G16" s="48" t="str">
        <x:v>선지학습</x:v>
      </x:c>
      <x:c r="H16" s="16" t="str">
        <x:v>C03-S03
공통 연결 뒤</x:v>
      </x:c>
      <x:c r="I16" s="16" t="str">
        <x:v>오답선지② · 미천왕의 낙랑군 축출</x:v>
      </x:c>
      <x:c r="J16" s="16" t="str">
        <x:v>옛 군현의 세금 권한이 사라졌다는 상황을 낙랑군 축출 뒤의 변화로 연결한다.</x:v>
      </x:c>
      <x:c r="K16" s="16" t="str">
        <x:v>—</x:v>
      </x:c>
      <x:c r="L16" s="16" t="str">
        <x:v>—</x:v>
      </x:c>
      <x:c r="M16" s="16" t="str">
        <x:v>주민의 집 문서 처리 자체는 창작 갈등이며 기출이 직접 묻는 사실이 아니다.</x:v>
      </x:c>
    </x:row>
    <x:row r="17" ht="53.25" customHeight="1">
      <x:c r="A17" s="10" t="str">
        <x:v>CH02</x:v>
      </x:c>
      <x:c r="B17" s="10" t="str">
        <x:v>THR-C02-S03</x:v>
      </x:c>
      <x:c r="C17" s="13" t="str">
        <x:v>미천왕의 명령</x:v>
      </x:c>
      <x:c r="D17" s="13" t="str">
        <x:v>미천왕의 영토 확대와 지배 정비</x:v>
      </x:c>
      <x:c r="E17" s="34" t="str">
        <x:v>65회 심화 5번</x:v>
      </x:c>
      <x:c r="F17" s="35" t="n">
        <x:v>3</x:v>
      </x:c>
      <x:c r="G17" s="48" t="str">
        <x:v>선지학습</x:v>
      </x:c>
      <x:c r="H17" s="13" t="str">
        <x:v>C03-S03
공통 연결 뒤</x:v>
      </x:c>
      <x:c r="I17" s="13" t="str">
        <x:v>오답선지② · 미천왕의 낙랑군 축출</x:v>
      </x:c>
      <x:c r="J17" s="13" t="str">
        <x:v>대사에서 미천왕과 낙랑을 명시한다. 낙랑군 축출이 고국원왕 전사보다 앞선 사실임을 뒤의 연대 조건과 구별한다.</x:v>
      </x:c>
      <x:c r="K17" s="13" t="str">
        <x:v>1. 61회 심화 4번 · ①
선지학습 · 오답선지③ · 낙랑군 축출
→ C03-S07 공통 연결 뒤</x:v>
      </x:c>
      <x:c r="L17" s="13" t="str">
        <x:v>—</x:v>
      </x:c>
      <x:c r="M17" s="13" t="str">
        <x:v>—</x:v>
      </x:c>
    </x:row>
    <x:row r="18" ht="42" customHeight="1">
      <x:c r="A18" s="15" t="str">
        <x:v>CH02</x:v>
      </x:c>
      <x:c r="B18" s="15" t="str">
        <x:v>THR-C02-S04</x:v>
      </x:c>
      <x:c r="C18" s="16" t="str">
        <x:v>돌아갈 집의 표식</x:v>
      </x:c>
      <x:c r="D18" s="16" t="str">
        <x:v>정복 뒤 주민의 생활과 거주 기록</x:v>
      </x:c>
      <x:c r="E18" s="32" t="str">
        <x:v>65회 심화 5번</x:v>
      </x:c>
      <x:c r="F18" s="33" t="n">
        <x:v>3</x:v>
      </x:c>
      <x:c r="G18" s="48" t="str">
        <x:v>선지학습</x:v>
      </x:c>
      <x:c r="H18" s="16" t="str">
        <x:v>C03-S03
공통 연결 뒤</x:v>
      </x:c>
      <x:c r="I18" s="16" t="str">
        <x:v>오답선지② · 미천왕의 낙랑군 축출</x:v>
      </x:c>
      <x:c r="J18" s="16" t="str">
        <x:v>길과 집의 주인이 바뀐 사건 배경을 복습한다. 이 장면의 가족 분쟁에 정답을 매기지 않는다.</x:v>
      </x:c>
      <x:c r="K18" s="16" t="str">
        <x:v>—</x:v>
      </x:c>
      <x:c r="L18" s="16" t="str">
        <x:v>—</x:v>
      </x:c>
      <x:c r="M18" s="16" t="str">
        <x:v>—</x:v>
      </x:c>
    </x:row>
    <x:row r="19" ht="53.25" customHeight="1">
      <x:c r="A19" s="10" t="str">
        <x:v>CH02</x:v>
      </x:c>
      <x:c r="B19" s="10" t="str">
        <x:v>THR-C02-S05</x:v>
      </x:c>
      <x:c r="C19" s="13" t="str">
        <x:v>남쪽 강의 지도</x:v>
      </x:c>
      <x:c r="D19" s="13" t="str">
        <x:v>311년 서안평·313년 낙랑·314년 대방</x:v>
      </x:c>
      <x:c r="E19" s="34" t="str">
        <x:v>65회 심화 5번</x:v>
      </x:c>
      <x:c r="F19" s="35" t="n">
        <x:v>3</x:v>
      </x:c>
      <x:c r="G19" s="48" t="str">
        <x:v>선지학습</x:v>
      </x:c>
      <x:c r="H19" s="13" t="str">
        <x:v>C03-S03
공통 연결 뒤</x:v>
      </x:c>
      <x:c r="I19" s="13" t="str">
        <x:v>오답선지② · 미천왕의 낙랑군 축출</x:v>
      </x:c>
      <x:c r="J19" s="13" t="str">
        <x:v>이 문항의 선지에는 낙랑군 축출이 등장한다. 대본의 세 사건 중 무엇을 확인하는지 좁혀 연결한다.</x:v>
      </x:c>
      <x:c r="K19" s="13" t="str">
        <x:v>1. 61회 심화 4번 · ①
선지학습 · 오답선지③ · 낙랑군 축출
→ C03-S07 공통 연결 뒤</x:v>
      </x:c>
      <x:c r="L19" s="13" t="str">
        <x:v>—</x:v>
      </x:c>
      <x:c r="M19" s="13" t="str">
        <x:v>서안평·대방의 연도를 직접 묻는 기출로 과장하지 않는다. 실제 문항에서 연결되는 부분은 낙랑군 축출이다.</x:v>
      </x:c>
    </x:row>
    <x:row r="20" ht="42" customHeight="1">
      <x:c r="A20" s="15" t="str">
        <x:v>CH02</x:v>
      </x:c>
      <x:c r="B20" s="15" t="str">
        <x:v>THR-C02-S06</x:v>
      </x:c>
      <x:c r="C20" s="16" t="str">
        <x:v>가계도를 끊는 손</x:v>
      </x:c>
      <x:c r="D20" s="16" t="str">
        <x:v>미천왕과 고국원왕의 왕위 계승</x:v>
      </x:c>
      <x:c r="E20" s="32" t="str">
        <x:v>65회 심화 5번</x:v>
      </x:c>
      <x:c r="F20" s="33" t="n">
        <x:v>3</x:v>
      </x:c>
      <x:c r="G20" s="48" t="str">
        <x:v>선지학습</x:v>
      </x:c>
      <x:c r="H20" s="16" t="str">
        <x:v>C03-S03
공통 연결 뒤</x:v>
      </x:c>
      <x:c r="I20" s="16" t="str">
        <x:v>오답선지② · 미천왕의 낙랑군 축출</x:v>
      </x:c>
      <x:c r="J20" s="16" t="str">
        <x:v>미천왕의 낙랑군 축출이 고국원왕 전사보다 앞선다는 순서를 뒤의 연대 문제로 확인한다.</x:v>
      </x:c>
      <x:c r="K20" s="16" t="str">
        <x:v>—</x:v>
      </x:c>
      <x:c r="L20" s="16" t="str">
        <x:v>—</x:v>
      </x:c>
      <x:c r="M20" s="16" t="str">
        <x:v>주몽 건국과 부자 관계 자체를 이 문항의 출제 내용이라고 표시하지 않는다.</x:v>
      </x:c>
    </x:row>
    <x:row r="21" ht="53.25" customHeight="1">
      <x:c r="A21" s="10" t="str">
        <x:v>CH02</x:v>
      </x:c>
      <x:c r="B21" s="10" t="str">
        <x:v>THR-C02-S07</x:v>
      </x:c>
      <x:c r="C21" s="13" t="str">
        <x:v>화살 뒤의 침묵</x:v>
      </x:c>
      <x:c r="D21" s="13" t="str">
        <x:v>근초고왕의 평양 공격과 고국원왕 전사</x:v>
      </x:c>
      <x:c r="E21" s="34" t="str">
        <x:v>64회 기본 3번</x:v>
      </x:c>
      <x:c r="F21" s="35" t="n">
        <x:v>3</x:v>
      </x:c>
      <x:c r="G21" s="49" t="str">
        <x:v>직접</x:v>
      </x:c>
      <x:c r="H21" s="13" t="str">
        <x:v>C02-S07
공통 연결 뒤</x:v>
      </x:c>
      <x:c r="I21" s="13" t="str">
        <x:v>정답선지③ · 고국원왕 전사</x:v>
      </x:c>
      <x:c r="J21" s="13" t="str">
        <x:v>방금 들은 평양 공격과 고국원왕 전사를 근초고왕의 업적으로 연결한다.</x:v>
      </x:c>
      <x:c r="K21" s="13" t="str">
        <x:v>1. 65회 심화 5번 · ③
직접 · 자료 · 고국원왕 전사
→ C03-S03 공통 연결 뒤</x:v>
      </x:c>
      <x:c r="L21" s="13" t="str">
        <x:v>—</x:v>
      </x:c>
      <x:c r="M21" s="13" t="str">
        <x:v>—</x:v>
      </x:c>
    </x:row>
    <x:row r="22" ht="53.25" customHeight="1">
      <x:c r="A22" s="15" t="str">
        <x:v>CH02</x:v>
      </x:c>
      <x:c r="B22" s="15" t="str">
        <x:v>THR-C02-S08</x:v>
      </x:c>
      <x:c r="C22" s="16" t="str">
        <x:v>다음 왕의 빈 자리</x:v>
      </x:c>
      <x:c r="D22" s="16" t="str">
        <x:v>소수림왕의 불교 수용과 태학 설립</x:v>
      </x:c>
      <x:c r="E22" s="32" t="str">
        <x:v>73회 기본 5번</x:v>
      </x:c>
      <x:c r="F22" s="33" t="n">
        <x:v>3</x:v>
      </x:c>
      <x:c r="G22" s="49" t="str">
        <x:v>직접</x:v>
      </x:c>
      <x:c r="H22" s="16" t="str">
        <x:v>C02-S08
공통 연결 뒤</x:v>
      </x:c>
      <x:c r="I22" s="16" t="str">
        <x:v>자료와 정답 · 소수림왕</x:v>
      </x:c>
      <x:c r="J22" s="16" t="str">
        <x:v>고국원왕의 뒤를 이은 소수림왕, 불교와 태학, 순도를 대사에서 확인한 뒤 왕을 고른다.</x:v>
      </x:c>
      <x:c r="K22" s="16" t="str">
        <x:v>1. 68회 심화 8번 · ①
직접 · 자료와 정답 · 순도·태학
→ C03-S02 공통 연결 뒤</x:v>
      </x:c>
      <x:c r="L22" s="16" t="str">
        <x:v>—</x:v>
      </x:c>
      <x:c r="M22" s="16" t="str">
        <x:v>—</x:v>
      </x:c>
    </x:row>
    <x:row r="23" ht="53.25" customHeight="1">
      <x:c r="A23" s="47" t="str">
        <x:v>CH03</x:v>
      </x:c>
      <x:c r="B23" s="42" t="str">
        <x:v>THR-C03-S01</x:v>
      </x:c>
      <x:c r="C23" s="43" t="str">
        <x:v>처음 들어온 경전</x:v>
      </x:c>
      <x:c r="D23" s="43" t="str">
        <x:v>전진의 순도와 소수림왕의 불교 수용</x:v>
      </x:c>
      <x:c r="E23" s="44" t="str">
        <x:v>68회 심화 8번</x:v>
      </x:c>
      <x:c r="F23" s="45" t="n">
        <x:v>1</x:v>
      </x:c>
      <x:c r="G23" s="51" t="str">
        <x:v>직접</x:v>
      </x:c>
      <x:c r="H23" s="43" t="str">
        <x:v>C03-S02
공통 연결 뒤</x:v>
      </x:c>
      <x:c r="I23" s="43" t="str">
        <x:v>자료 · 전진·순도·불교 수용</x:v>
      </x:c>
      <x:c r="J23" s="43" t="str">
        <x:v>순도를 만난 장면을 태학 설립과 묶어 소수림왕 정책으로 확인한다.</x:v>
      </x:c>
      <x:c r="K23" s="43" t="str">
        <x:v>1. 70회 심화 4번 · ①
직접 · 정답선지 · 순도를 통한 불교 수용
→ C03-S03 공통 연결 뒤</x:v>
      </x:c>
      <x:c r="L23" s="43" t="str">
        <x:v>—</x:v>
      </x:c>
      <x:c r="M23" s="43" t="str">
        <x:v>—</x:v>
      </x:c>
    </x:row>
    <x:row r="24" ht="53.25" customHeight="1">
      <x:c r="A24" s="15" t="str">
        <x:v>CH03</x:v>
      </x:c>
      <x:c r="B24" s="15" t="str">
        <x:v>THR-C03-S02</x:v>
      </x:c>
      <x:c r="C24" s="16" t="str">
        <x:v>태학의 문턱</x:v>
      </x:c>
      <x:c r="D24" s="16" t="str">
        <x:v>태학과 귀족 자제 교육</x:v>
      </x:c>
      <x:c r="E24" s="32" t="str">
        <x:v>68회 심화 8번</x:v>
      </x:c>
      <x:c r="F24" s="33" t="n">
        <x:v>1</x:v>
      </x:c>
      <x:c r="G24" s="49" t="str">
        <x:v>직접</x:v>
      </x:c>
      <x:c r="H24" s="16" t="str">
        <x:v>C03-S02
공통 연결 뒤</x:v>
      </x:c>
      <x:c r="I24" s="16" t="str">
        <x:v>정답선지 · 태학 설립</x:v>
      </x:c>
      <x:c r="J24" s="16" t="str">
        <x:v>학교 문턱의 갈등을 겪은 뒤 소수림왕이 세운 교육 기관을 확인한다.</x:v>
      </x:c>
      <x:c r="K24" s="16" t="str">
        <x:v>1. 73회 기본 5번 · ③
관련복습 · 자료 · 불교 수용·태학 설립
→ C03-S02 공통 연결 뒤</x:v>
      </x:c>
      <x:c r="L24" s="16" t="str">
        <x:v>—</x:v>
      </x:c>
      <x:c r="M24" s="16" t="str">
        <x:v>—</x:v>
      </x:c>
    </x:row>
    <x:row r="25" ht="110.25" customHeight="1">
      <x:c r="A25" s="10" t="str">
        <x:v>CH03</x:v>
      </x:c>
      <x:c r="B25" s="10" t="str">
        <x:v>THR-C03-S03</x:v>
      </x:c>
      <x:c r="C25" s="13" t="str">
        <x:v>하나의 죄 두 판결</x:v>
      </x:c>
      <x:c r="D25" s="13" t="str">
        <x:v>소수림왕의 율령 반포</x:v>
      </x:c>
      <x:c r="E25" s="34" t="str">
        <x:v>62회 심화 4번</x:v>
      </x:c>
      <x:c r="F25" s="35" t="n">
        <x:v>5</x:v>
      </x:c>
      <x:c r="G25" s="49" t="str">
        <x:v>직접</x:v>
      </x:c>
      <x:c r="H25" s="13" t="str">
        <x:v>C03-S03
공통 연결 뒤</x:v>
      </x:c>
      <x:c r="I25" s="13" t="str">
        <x:v>정답선지⑤ · 율령 반포</x:v>
      </x:c>
      <x:c r="J25" s="13" t="str">
        <x:v>전쟁 뒤 불교·태학·율령으로 나라를 정비한 흐름이 모두 완성된 지점이다.</x:v>
      </x:c>
      <x:c r="K25" s="13" t="str">
        <x:v>1. 65회 심화 5번 · ③
직접 · 정답선지③ · 불교 공인·율령
→ C03-S03 공통 연결 뒤
2. 70회 심화 4번 · ①
직접 · 자료의 율령·태학과 정답의 불교
→ C03-S03 공통 연결 뒤</x:v>
      </x:c>
      <x:c r="L25" s="13" t="str">
        <x:v>—</x:v>
      </x:c>
      <x:c r="M25" s="13" t="str">
        <x:v>—</x:v>
      </x:c>
    </x:row>
    <x:row r="26" ht="42" customHeight="1">
      <x:c r="A26" s="15" t="str">
        <x:v>CH03</x:v>
      </x:c>
      <x:c r="B26" s="15" t="str">
        <x:v>THR-C03-S04</x:v>
      </x:c>
      <x:c r="C26" s="16" t="str">
        <x:v>전쟁 사이의 왕들</x:v>
      </x:c>
      <x:c r="D26" s="16" t="str">
        <x:v>고국양왕을 거쳐 광개토대왕으로 이어진 왕계</x:v>
      </x:c>
      <x:c r="E26" s="32" t="str">
        <x:v>61회 심화 4번</x:v>
      </x:c>
      <x:c r="F26" s="33" t="n">
        <x:v>1</x:v>
      </x:c>
      <x:c r="G26" s="39" t="str">
        <x:v>서사연결</x:v>
      </x:c>
      <x:c r="H26" s="16" t="str">
        <x:v>C03-S07
공통 연결 뒤</x:v>
      </x:c>
      <x:c r="I26" s="16" t="str">
        <x:v>자료와 정답 · 광개토대왕·영락</x:v>
      </x:c>
      <x:c r="J26" s="16" t="str">
        <x:v>새 왕의 연호를 예고하는 장면이다. 원정과 신라 구원까지 본 뒤 전체 문제를 푼다.</x:v>
      </x:c>
      <x:c r="K26" s="16" t="str">
        <x:v>—</x:v>
      </x:c>
      <x:c r="L26" s="16" t="str">
        <x:v>—</x:v>
      </x:c>
      <x:c r="M26" s="16" t="str">
        <x:v>고국양왕의 재위나 부자 관계를 직접 묻는 확보 문항은 없다.</x:v>
      </x:c>
    </x:row>
    <x:row r="27" ht="53.25" customHeight="1">
      <x:c r="A27" s="10" t="str">
        <x:v>CH03</x:v>
      </x:c>
      <x:c r="B27" s="10" t="str">
        <x:v>THR-C03-S05</x:v>
      </x:c>
      <x:c r="C27" s="13" t="str">
        <x:v>영락의 첫 장</x:v>
      </x:c>
      <x:c r="D27" s="13" t="str">
        <x:v>광개토대왕의 독자 연호 영락</x:v>
      </x:c>
      <x:c r="E27" s="34" t="str">
        <x:v>61회 심화 4번</x:v>
      </x:c>
      <x:c r="F27" s="35" t="n">
        <x:v>1</x:v>
      </x:c>
      <x:c r="G27" s="49" t="str">
        <x:v>직접</x:v>
      </x:c>
      <x:c r="H27" s="13" t="str">
        <x:v>C03-S07
공통 연결 뒤</x:v>
      </x:c>
      <x:c r="I27" s="13" t="str">
        <x:v>정답선지① · 영락</x:v>
      </x:c>
      <x:c r="J27" s="13" t="str">
        <x:v>연호는 지금 배우지만 자료의 신라 구원은 뒤에 나오므로 S07에서 묶어 푼다.</x:v>
      </x:c>
      <x:c r="K27" s="13" t="str">
        <x:v>1. 66회 심화 4번 · ④
직접 · 정답선지④ · 영락
→ C03-S07 공통 연결 뒤</x:v>
      </x:c>
      <x:c r="L27" s="13" t="str">
        <x:v>—</x:v>
      </x:c>
      <x:c r="M27" s="13" t="str">
        <x:v>—</x:v>
      </x:c>
    </x:row>
    <x:row r="28" ht="53.25" customHeight="1">
      <x:c r="A28" s="15" t="str">
        <x:v>CH03</x:v>
      </x:c>
      <x:c r="B28" s="15" t="str">
        <x:v>THR-C03-S06</x:v>
      </x:c>
      <x:c r="C28" s="16" t="str">
        <x:v>세 방향의 깃발</x:v>
      </x:c>
      <x:c r="D28" s="16" t="str">
        <x:v>광개토대왕의 여러 방향 원정</x:v>
      </x:c>
      <x:c r="E28" s="32" t="str">
        <x:v>61회 심화 4번</x:v>
      </x:c>
      <x:c r="F28" s="33" t="n">
        <x:v>1</x:v>
      </x:c>
      <x:c r="G28" s="49" t="str">
        <x:v>직접</x:v>
      </x:c>
      <x:c r="H28" s="16" t="str">
        <x:v>C03-S07
공통 연결 뒤</x:v>
      </x:c>
      <x:c r="I28" s="16" t="str">
        <x:v>자료 · 관미성·후연·신라 구원</x:v>
      </x:c>
      <x:c r="J28" s="16" t="str">
        <x:v>원정을 하나의 전투로 합치지 않고 왕별 업적 목록으로 읽는다. 마지막 구원 장면 뒤에 푼다.</x:v>
      </x:c>
      <x:c r="K28" s="16" t="str">
        <x:v>1. 67회 기본 3번 · ④
직접 · 자료 · 거란·숙신·후연·동부여
→ C03-S07 공통 연결 뒤</x:v>
      </x:c>
      <x:c r="L28" s="16" t="str">
        <x:v>—</x:v>
      </x:c>
      <x:c r="M28" s="16" t="str">
        <x:v>—</x:v>
      </x:c>
    </x:row>
    <x:row r="29" ht="110.25" customHeight="1">
      <x:c r="A29" s="10" t="str">
        <x:v>CH03</x:v>
      </x:c>
      <x:c r="B29" s="10" t="str">
        <x:v>THR-C03-S07</x:v>
      </x:c>
      <x:c r="C29" s="13" t="str">
        <x:v>신라의 급한 편지</x:v>
      </x:c>
      <x:c r="D29" s="13" t="str">
        <x:v>400년 신라 구원과 광개토대왕</x:v>
      </x:c>
      <x:c r="E29" s="34" t="str">
        <x:v>66회 심화 4번</x:v>
      </x:c>
      <x:c r="F29" s="35" t="n">
        <x:v>4</x:v>
      </x:c>
      <x:c r="G29" s="49" t="str">
        <x:v>직접</x:v>
      </x:c>
      <x:c r="H29" s="13" t="str">
        <x:v>C03-S07
공통 연결 뒤</x:v>
      </x:c>
      <x:c r="I29" s="13" t="str">
        <x:v>자료와 정답 · 신라 구원·영락</x:v>
      </x:c>
      <x:c r="J29" s="13" t="str">
        <x:v>신라 사신의 요청을 듣고 구원한 왕과 연호를 연결한다.</x:v>
      </x:c>
      <x:c r="K29" s="13" t="str">
        <x:v>1. 61회 심화 4번 · ①
직접 · 자료 · 신라에 침입한 왜 격퇴
→ C03-S07 공통 연결 뒤
2. 67회 기본 3번 · ④
직접 · 정답선지④ · 신라 구원
→ C03-S07 공통 연결 뒤</x:v>
      </x:c>
      <x:c r="L29" s="13" t="str">
        <x:v>—</x:v>
      </x:c>
      <x:c r="M29" s="13" t="str">
        <x:v>—</x:v>
      </x:c>
    </x:row>
    <x:row r="30" ht="42" customHeight="1">
      <x:c r="A30" s="15" t="str">
        <x:v>CH03</x:v>
      </x:c>
      <x:c r="B30" s="15" t="str">
        <x:v>THR-C03-S08</x:v>
      </x:c>
      <x:c r="C30" s="16" t="str">
        <x:v>구원 뒤의 그림자</x:v>
      </x:c>
      <x:c r="D30" s="16" t="str">
        <x:v>신라 구원의 가야 지역 영향</x:v>
      </x:c>
      <x:c r="E30" s="32" t="str">
        <x:v>67회 기본 3번</x:v>
      </x:c>
      <x:c r="F30" s="33" t="n">
        <x:v>4</x:v>
      </x:c>
      <x:c r="G30" s="39" t="str">
        <x:v>관련복습</x:v>
      </x:c>
      <x:c r="H30" s="16" t="str">
        <x:v>C03-S08
공통 연결 뒤</x:v>
      </x:c>
      <x:c r="I30" s="16" t="str">
        <x:v>정답선지④ · 신라에 침입한 왜 격퇴</x:v>
      </x:c>
      <x:c r="J30" s="16" t="str">
        <x:v>기출은 광개토대왕의 구원을 묻는다. 가야 항구의 상인 손해는 사건을 다른 시선에서 보는 창작이다.</x:v>
      </x:c>
      <x:c r="K30" s="16" t="str">
        <x:v>—</x:v>
      </x:c>
      <x:c r="L30" s="16" t="str">
        <x:v>—</x:v>
      </x:c>
      <x:c r="M30" s="16" t="str">
        <x:v>400년에 가야 전체가 멸망했다고 읽지 않는다.</x:v>
      </x:c>
    </x:row>
    <x:row r="31" ht="53.25" customHeight="1">
      <x:c r="A31" s="10" t="str">
        <x:v>CH03</x:v>
      </x:c>
      <x:c r="B31" s="10" t="str">
        <x:v>THR-C03-S09</x:v>
      </x:c>
      <x:c r="C31" s="13" t="str">
        <x:v>돌에 새긴 공적</x:v>
      </x:c>
      <x:c r="D31" s="13" t="str">
        <x:v>414년 광개토대왕릉비와 415년 호우명 그릇</x:v>
      </x:c>
      <x:c r="E31" s="34" t="str">
        <x:v>77회 심화 13번</x:v>
      </x:c>
      <x:c r="F31" s="35" t="n">
        <x:v>4</x:v>
      </x:c>
      <x:c r="G31" s="49" t="str">
        <x:v>직접</x:v>
      </x:c>
      <x:c r="H31" s="13" t="str">
        <x:v>C03-S09
공통 연결 뒤</x:v>
      </x:c>
      <x:c r="I31" s="13" t="str">
        <x:v>정답 이미지④ · 호우명 그릇</x:v>
      </x:c>
      <x:c r="J31" s="13" t="str">
        <x:v>기록책에서 본 그릇을 고려 유물과 구별한다. 부정형 질문임을 먼저 읽는다.</x:v>
      </x:c>
      <x:c r="K31" s="13" t="str">
        <x:v>1. 66회 심화 4번 · ④
관련복습 · 자료 · 광개토대왕의 신라 구원
→ C03-S09 공통 연결 뒤</x:v>
      </x:c>
      <x:c r="L31" s="13" t="str">
        <x:v>—</x:v>
      </x:c>
      <x:c r="M31" s="13" t="str">
        <x:v>비의 건립, 그릇의 명문, 구원 전투는 각각 다른 연도다.</x:v>
      </x:c>
    </x:row>
    <x:row r="32" ht="53.25" customHeight="1">
      <x:c r="A32" s="15" t="str">
        <x:v>CH03</x:v>
      </x:c>
      <x:c r="B32" s="15" t="str">
        <x:v>THR-C03-S10</x:v>
      </x:c>
      <x:c r="C32" s="16" t="str">
        <x:v>돌과 흙의 기억</x:v>
      </x:c>
      <x:c r="D32" s="16" t="str">
        <x:v>고구려 고분·사신도·부경·불상</x:v>
      </x:c>
      <x:c r="E32" s="32" t="str">
        <x:v>77회 심화 8번</x:v>
      </x:c>
      <x:c r="F32" s="33" t="n">
        <x:v>3</x:v>
      </x:c>
      <x:c r="G32" s="49" t="str">
        <x:v>직접</x:v>
      </x:c>
      <x:c r="H32" s="16" t="str">
        <x:v>C03-S10
공통 연결 뒤</x:v>
      </x:c>
      <x:c r="I32" s="16" t="str">
        <x:v>자료의 돌무지무덤과 정답선지③ 부경</x:v>
      </x:c>
      <x:c r="J32" s="16" t="str">
        <x:v>돌무지무덤을 본 뒤 집 옆 창고가 부경임을 확인한 대사와 직접 이어진다.</x:v>
      </x:c>
      <x:c r="K32" s="16" t="str">
        <x:v>—</x:v>
      </x:c>
      <x:c r="L32" s="16" t="str">
        <x:v>—</x:v>
      </x:c>
      <x:c r="M32" s="16" t="str">
        <x:v>경당을 정답으로 묻는 74심화3·78심화5는 실제 대사에서 가르치지 않았으므로 이번 씬의 출제 후보에서 제외했다. 검토 문항 원장에는 참고용으로 남긴다.</x:v>
      </x:c>
    </x:row>
    <x:row r="33" ht="42" customHeight="1">
      <x:c r="A33" s="47" t="str">
        <x:v>CH04</x:v>
      </x:c>
      <x:c r="B33" s="42" t="str">
        <x:v>THR-C04-S01</x:v>
      </x:c>
      <x:c r="C33" s="43" t="str">
        <x:v>짐수레의 수도</x:v>
      </x:c>
      <x:c r="D33" s="43" t="str">
        <x:v>장수왕의 국내성에서 평양으로 천도</x:v>
      </x:c>
      <x:c r="E33" s="44" t="str">
        <x:v>60회 심화 5번</x:v>
      </x:c>
      <x:c r="F33" s="45" t="n">
        <x:v>1</x:v>
      </x:c>
      <x:c r="G33" s="51" t="str">
        <x:v>직접</x:v>
      </x:c>
      <x:c r="H33" s="43" t="str">
        <x:v>C04-S07
공통 연결 뒤</x:v>
      </x:c>
      <x:c r="I33" s="43" t="str">
        <x:v>정답선지① · 국내성에서 평양으로</x:v>
      </x:c>
      <x:c r="J33" s="43" t="str">
        <x:v>수도 이동 자체는 지금 배우지만 문항 자료에 한성 함락이 있어 S07 뒤로 푼다.</x:v>
      </x:c>
      <x:c r="K33" s="43" t="str">
        <x:v>—</x:v>
      </x:c>
      <x:c r="L33" s="43" t="str">
        <x:v>—</x:v>
      </x:c>
      <x:c r="M33" s="43" t="str">
        <x:v>—</x:v>
      </x:c>
    </x:row>
    <x:row r="34" ht="42" customHeight="1">
      <x:c r="A34" s="15" t="str">
        <x:v>CH04</x:v>
      </x:c>
      <x:c r="B34" s="15" t="str">
        <x:v>THR-C04-S02</x:v>
      </x:c>
      <x:c r="C34" s="16" t="str">
        <x:v>강을 따라 내려가다</x:v>
      </x:c>
      <x:c r="D34" s="16" t="str">
        <x:v>평양 천도의 지리적 이점과 남진</x:v>
      </x:c>
      <x:c r="E34" s="32" t="str">
        <x:v>61회 심화 6번</x:v>
      </x:c>
      <x:c r="F34" s="33" t="n">
        <x:v>5</x:v>
      </x:c>
      <x:c r="G34" s="49" t="str">
        <x:v>직접</x:v>
      </x:c>
      <x:c r="H34" s="16" t="str">
        <x:v>C04-S05
공통 연결 뒤</x:v>
      </x:c>
      <x:c r="I34" s="16" t="str">
        <x:v>정답선지⑤ · 평양 천도와 남진</x:v>
      </x:c>
      <x:c r="J34" s="16" t="str">
        <x:v>강과 들, 남쪽 진출이라는 수도 이동의 목적을 백제의 구원 요청까지 본 뒤 확인한다.</x:v>
      </x:c>
      <x:c r="K34" s="16" t="str">
        <x:v>—</x:v>
      </x:c>
      <x:c r="L34" s="16" t="str">
        <x:v>—</x:v>
      </x:c>
      <x:c r="M34" s="16" t="str">
        <x:v>—</x:v>
      </x:c>
    </x:row>
    <x:row r="35" ht="42" customHeight="1">
      <x:c r="A35" s="10" t="str">
        <x:v>CH04</x:v>
      </x:c>
      <x:c r="B35" s="10" t="str">
        <x:v>THR-C04-S03</x:v>
      </x:c>
      <x:c r="C35" s="13" t="str">
        <x:v>새 도읍의 빈집</x:v>
      </x:c>
      <x:c r="D35" s="13" t="str">
        <x:v>천도 뒤 이주민과 기존 주민의 생활</x:v>
      </x:c>
      <x:c r="E35" s="34" t="str">
        <x:v>60회 심화 5번</x:v>
      </x:c>
      <x:c r="F35" s="35" t="n">
        <x:v>1</x:v>
      </x:c>
      <x:c r="G35" s="40" t="str">
        <x:v>서사연결</x:v>
      </x:c>
      <x:c r="H35" s="13" t="str">
        <x:v>C04-S07
공통 연결 뒤</x:v>
      </x:c>
      <x:c r="I35" s="13" t="str">
        <x:v>정답선지① · 평양 천도</x:v>
      </x:c>
      <x:c r="J35" s="13" t="str">
        <x:v>거주 갈등은 천도에 따른 창작 생활상이다. 왕의 업적 확인은 한성 사건까지 학습한 뒤에 둔다.</x:v>
      </x:c>
      <x:c r="K35" s="13" t="str">
        <x:v>—</x:v>
      </x:c>
      <x:c r="L35" s="13" t="str">
        <x:v>—</x:v>
      </x:c>
      <x:c r="M35" s="13" t="str">
        <x:v>—</x:v>
      </x:c>
    </x:row>
    <x:row r="36" ht="42" customHeight="1">
      <x:c r="A36" s="15" t="str">
        <x:v>CH04</x:v>
      </x:c>
      <x:c r="B36" s="15" t="str">
        <x:v>THR-C04-S04</x:v>
      </x:c>
      <x:c r="C36" s="16" t="str">
        <x:v>장수왕의 시선</x:v>
      </x:c>
      <x:c r="D36" s="16" t="str">
        <x:v>장수왕의 남진과 433년 나제 동맹</x:v>
      </x:c>
      <x:c r="E36" s="32" t="str">
        <x:v>61회 심화 6번</x:v>
      </x:c>
      <x:c r="F36" s="33" t="n">
        <x:v>5</x:v>
      </x:c>
      <x:c r="G36" s="49" t="str">
        <x:v>직접</x:v>
      </x:c>
      <x:c r="H36" s="16" t="str">
        <x:v>C04-S05
공통 연결 뒤</x:v>
      </x:c>
      <x:c r="I36" s="16" t="str">
        <x:v>정답선지⑤ · 장수왕의 남진</x:v>
      </x:c>
      <x:c r="J36" s="16" t="str">
        <x:v>백제·신라가 고구려를 견제한 사정을, 개로왕이 북위에 도움을 청하는 배경과 연결한다.</x:v>
      </x:c>
      <x:c r="K36" s="16" t="str">
        <x:v>—</x:v>
      </x:c>
      <x:c r="L36" s="16" t="str">
        <x:v>—</x:v>
      </x:c>
      <x:c r="M36" s="16" t="str">
        <x:v>433년 동맹과 동성왕대 493년 혼인 동맹을 같은 사건으로 합치지 않는다.</x:v>
      </x:c>
    </x:row>
    <x:row r="37" ht="42" customHeight="1">
      <x:c r="A37" s="10" t="str">
        <x:v>CH04</x:v>
      </x:c>
      <x:c r="B37" s="10" t="str">
        <x:v>THR-C04-S05</x:v>
      </x:c>
      <x:c r="C37" s="13" t="str">
        <x:v>북위로 가는 글</x:v>
      </x:c>
      <x:c r="D37" s="13" t="str">
        <x:v>472년 개로왕의 북위 구원 요청</x:v>
      </x:c>
      <x:c r="E37" s="34" t="str">
        <x:v>61회 심화 6번</x:v>
      </x:c>
      <x:c r="F37" s="35" t="n">
        <x:v>5</x:v>
      </x:c>
      <x:c r="G37" s="49" t="str">
        <x:v>직접</x:v>
      </x:c>
      <x:c r="H37" s="13" t="str">
        <x:v>C04-S05
공통 연결 뒤</x:v>
      </x:c>
      <x:c r="I37" s="13" t="str">
        <x:v>자료와 정답 · 북위 구원 요청·남진</x:v>
      </x:c>
      <x:c r="J37" s="13" t="str">
        <x:v>한 사건을 고구려와 백제의 시선으로 모두 들은 뒤 요청의 배경을 묻는다.</x:v>
      </x:c>
      <x:c r="K37" s="13" t="str">
        <x:v>—</x:v>
      </x:c>
      <x:c r="L37" s="13" t="str">
        <x:v>—</x:v>
      </x:c>
      <x:c r="M37" s="13" t="str">
        <x:v>—</x:v>
      </x:c>
    </x:row>
    <x:row r="38" ht="53.25" customHeight="1">
      <x:c r="A38" s="15" t="str">
        <x:v>CH04</x:v>
      </x:c>
      <x:c r="B38" s="15" t="str">
        <x:v>THR-C04-S06</x:v>
      </x:c>
      <x:c r="C38" s="16" t="str">
        <x:v>한성 앞의 밤</x:v>
      </x:c>
      <x:c r="D38" s="16" t="str">
        <x:v>475년 장수왕의 한성 공격</x:v>
      </x:c>
      <x:c r="E38" s="32" t="str">
        <x:v>75회 기본 2번</x:v>
      </x:c>
      <x:c r="F38" s="33" t="n">
        <x:v>3</x:v>
      </x:c>
      <x:c r="G38" s="49" t="str">
        <x:v>직접</x:v>
      </x:c>
      <x:c r="H38" s="16" t="str">
        <x:v>C04-S07
공통 연결 뒤</x:v>
      </x:c>
      <x:c r="I38" s="16" t="str">
        <x:v>자료 · 한성 함락</x:v>
      </x:c>
      <x:c r="J38" s="16" t="str">
        <x:v>공격 준비에서 곧바로 함락 결과를 먼저 보여 주지 않도록 다음 씬 뒤에 둔다.</x:v>
      </x:c>
      <x:c r="K38" s="16" t="str">
        <x:v>1. 60회 심화 5번 · ①
직접 · 자료 · 백제 도성 함락
→ C04-S07 공통 연결 뒤</x:v>
      </x:c>
      <x:c r="L38" s="16" t="str">
        <x:v>—</x:v>
      </x:c>
      <x:c r="M38" s="16" t="str">
        <x:v>—</x:v>
      </x:c>
    </x:row>
    <x:row r="39" ht="110.25" customHeight="1">
      <x:c r="A39" s="10" t="str">
        <x:v>CH04</x:v>
      </x:c>
      <x:c r="B39" s="10" t="str">
        <x:v>THR-C04-S07</x:v>
      </x:c>
      <x:c r="C39" s="13" t="str">
        <x:v>불탄 왕도의 소식</x:v>
      </x:c>
      <x:c r="D39" s="13" t="str">
        <x:v>한성 함락과 개로왕 전사</x:v>
      </x:c>
      <x:c r="E39" s="34" t="str">
        <x:v>75회 기본 2번</x:v>
      </x:c>
      <x:c r="F39" s="35" t="n">
        <x:v>3</x:v>
      </x:c>
      <x:c r="G39" s="49" t="str">
        <x:v>직접</x:v>
      </x:c>
      <x:c r="H39" s="13" t="str">
        <x:v>C04-S07
공통 연결 뒤</x:v>
      </x:c>
      <x:c r="I39" s="13" t="str">
        <x:v>자료의 한성 함락과 정답 평양 천도</x:v>
      </x:c>
      <x:c r="J39" s="13" t="str">
        <x:v>방금 확인한 한성의 소식을 앞의 천도와 연결해 장수왕의 업적으로 고른다.</x:v>
      </x:c>
      <x:c r="K39" s="13" t="str">
        <x:v>1. 60회 심화 5번 · ①
직접 · 자료의 백제 도성 함락과 정답 평양 천도
→ C04-S07 공통 연결 뒤
2. 70회 심화 3번 · ②
직접 · 자료 · 한성 함락·개로왕 전사
→ C07-S08 공통 연결 뒤</x:v>
      </x:c>
      <x:c r="L39" s="13" t="str">
        <x:v>—</x:v>
      </x:c>
      <x:c r="M39" s="13" t="str">
        <x:v>—</x:v>
      </x:c>
    </x:row>
    <x:row r="40" ht="42" customHeight="1">
      <x:c r="A40" s="15" t="str">
        <x:v>CH04</x:v>
      </x:c>
      <x:c r="B40" s="15" t="str">
        <x:v>THR-C04-S08</x:v>
      </x:c>
      <x:c r="C40" s="16" t="str">
        <x:v>남쪽 돌의 글자</x:v>
      </x:c>
      <x:c r="D40" s="16" t="str">
        <x:v>충주 고구려비와 한반도 중부 영향</x:v>
      </x:c>
      <x:c r="E40" s="32" t="str">
        <x:v>73회 기본 30번</x:v>
      </x:c>
      <x:c r="F40" s="33" t="n">
        <x:v>4</x:v>
      </x:c>
      <x:c r="G40" s="49" t="str">
        <x:v>직접</x:v>
      </x:c>
      <x:c r="H40" s="16" t="str">
        <x:v>C04-S08
공통 연결 뒤</x:v>
      </x:c>
      <x:c r="I40" s="16" t="str">
        <x:v>자료 · 충주 고구려비; 정답 · 충주</x:v>
      </x:c>
      <x:c r="J40" s="16" t="str">
        <x:v>여러 시대 단서가 섞인 지역 문제지만 고구려비가 남은 충주를 지금 대사에서 식별할 수 있다.</x:v>
      </x:c>
      <x:c r="K40" s="16" t="str">
        <x:v>—</x:v>
      </x:c>
      <x:c r="L40" s="16" t="str">
        <x:v>—</x:v>
      </x:c>
      <x:c r="M40" s="16" t="str">
        <x:v>비석이 있는 장소를 확인하는 기출이다. 비의 건립 연도나 정확한 영토 경계를 확정하는 문제로 사용하지 않는다.</x:v>
      </x:c>
    </x:row>
    <x:row r="41" ht="42" customHeight="1">
      <x:c r="A41" s="10" t="str">
        <x:v>CH04</x:v>
      </x:c>
      <x:c r="B41" s="10" t="str">
        <x:v>THR-C04-S09</x:v>
      </x:c>
      <x:c r="C41" s="13" t="str">
        <x:v>누가 승리했나</x:v>
      </x:c>
      <x:c r="D41" s="13" t="str">
        <x:v>평양 천도와 한성 함락을 함께 기록</x:v>
      </x:c>
      <x:c r="E41" s="34" t="str">
        <x:v>60회 심화 5번</x:v>
      </x:c>
      <x:c r="F41" s="35" t="n">
        <x:v>1</x:v>
      </x:c>
      <x:c r="G41" s="40" t="str">
        <x:v>관련복습</x:v>
      </x:c>
      <x:c r="H41" s="13" t="str">
        <x:v>C04-S09
공통 연결 뒤</x:v>
      </x:c>
      <x:c r="I41" s="13" t="str">
        <x:v>자료·정답 · 장수왕의 천도와 한성 함락</x:v>
      </x:c>
      <x:c r="J41" s="13" t="str">
        <x:v>고구려의 성과와 이주·피란민의 삶을 정리한 뒤 왕의 업적만 따로 확인한다.</x:v>
      </x:c>
      <x:c r="K41" s="13" t="str">
        <x:v>—</x:v>
      </x:c>
      <x:c r="L41" s="13" t="str">
        <x:v>—</x:v>
      </x:c>
      <x:c r="M41" s="13" t="str">
        <x:v>—</x:v>
      </x:c>
    </x:row>
    <x:row r="42" ht="42" customHeight="1">
      <x:c r="A42" s="15" t="str">
        <x:v>CH04</x:v>
      </x:c>
      <x:c r="B42" s="15" t="str">
        <x:v>THR-C04-S10</x:v>
      </x:c>
      <x:c r="C42" s="16" t="str">
        <x:v>오래된 강의 다음 장</x:v>
      </x:c>
      <x:c r="D42" s="16" t="str">
        <x:v>612년 영양왕과 수나라의 침입</x:v>
      </x:c>
      <x:c r="E42" s="32" t="str">
        <x:v>69회 기본 6번</x:v>
      </x:c>
      <x:c r="F42" s="33" t="n">
        <x:v>1</x:v>
      </x:c>
      <x:c r="G42" s="39" t="str">
        <x:v>서사연결</x:v>
      </x:c>
      <x:c r="H42" s="16" t="str">
        <x:v>C05-S03
공통 연결 뒤</x:v>
      </x:c>
      <x:c r="I42" s="16" t="str">
        <x:v>정답선지 · 을지문덕·살수·수</x:v>
      </x:c>
      <x:c r="J42" s="16" t="str">
        <x:v>수의 원정으로 넘어가는 도입이다. 승리 결과는 CH05S03까지 보여 주지 않는다.</x:v>
      </x:c>
      <x:c r="K42" s="16" t="str">
        <x:v>—</x:v>
      </x:c>
      <x:c r="L42" s="16" t="str">
        <x:v>—</x:v>
      </x:c>
      <x:c r="M42" s="16" t="str">
        <x:v>—</x:v>
      </x:c>
    </x:row>
    <x:row r="43" ht="42" customHeight="1">
      <x:c r="A43" s="47" t="str">
        <x:v>CH05</x:v>
      </x:c>
      <x:c r="B43" s="42" t="str">
        <x:v>THR-C05-S01</x:v>
      </x:c>
      <x:c r="C43" s="43" t="str">
        <x:v>끝없는 군량 수레</x:v>
      </x:c>
      <x:c r="D43" s="43" t="str">
        <x:v>영양왕대 수 양제의 침입과 군량</x:v>
      </x:c>
      <x:c r="E43" s="44" t="str">
        <x:v>69회 기본 6번</x:v>
      </x:c>
      <x:c r="F43" s="45" t="n">
        <x:v>1</x:v>
      </x:c>
      <x:c r="G43" s="46" t="str">
        <x:v>서사연결</x:v>
      </x:c>
      <x:c r="H43" s="43" t="str">
        <x:v>C05-S03
공통 연결 뒤</x:v>
      </x:c>
      <x:c r="I43" s="43" t="str">
        <x:v>정답선지 · 수의 침입과 살수</x:v>
      </x:c>
      <x:c r="J43" s="43" t="str">
        <x:v>상대 나라가 수라는 사실을 먼저 익히고 살수의 결과 뒤에 푼다.</x:v>
      </x:c>
      <x:c r="K43" s="43" t="str">
        <x:v>—</x:v>
      </x:c>
      <x:c r="L43" s="43" t="str">
        <x:v>—</x:v>
      </x:c>
      <x:c r="M43" s="43" t="str">
        <x:v>이문진의 신집 편찬은 대본에 있지만 이 연결 기출의 직접 출제 대상은 아니다.</x:v>
      </x:c>
    </x:row>
    <x:row r="44" ht="42" customHeight="1">
      <x:c r="A44" s="15" t="str">
        <x:v>CH05</x:v>
      </x:c>
      <x:c r="B44" s="15" t="str">
        <x:v>THR-C05-S02</x:v>
      </x:c>
      <x:c r="C44" s="16" t="str">
        <x:v>을지문덕의 기다림</x:v>
      </x:c>
      <x:c r="D44" s="16" t="str">
        <x:v>을지문덕의 대응과 보급 판단</x:v>
      </x:c>
      <x:c r="E44" s="32" t="str">
        <x:v>69회 기본 6번</x:v>
      </x:c>
      <x:c r="F44" s="33" t="n">
        <x:v>1</x:v>
      </x:c>
      <x:c r="G44" s="49" t="str">
        <x:v>직접</x:v>
      </x:c>
      <x:c r="H44" s="16" t="str">
        <x:v>C05-S03
공통 연결 뒤</x:v>
      </x:c>
      <x:c r="I44" s="16" t="str">
        <x:v>정답선지 · 을지문덕</x:v>
      </x:c>
      <x:c r="J44" s="16" t="str">
        <x:v>을지문덕을 만나는 장면이다. 대첩을 아직 겪지 않았으므로 다음 씬 뒤에 푼다.</x:v>
      </x:c>
      <x:c r="K44" s="16" t="str">
        <x:v>—</x:v>
      </x:c>
      <x:c r="L44" s="16" t="str">
        <x:v>—</x:v>
      </x:c>
      <x:c r="M44" s="16" t="str">
        <x:v>—</x:v>
      </x:c>
    </x:row>
    <x:row r="45" ht="53.25" customHeight="1">
      <x:c r="A45" s="10" t="str">
        <x:v>CH05</x:v>
      </x:c>
      <x:c r="B45" s="10" t="str">
        <x:v>THR-C05-S03</x:v>
      </x:c>
      <x:c r="C45" s="13" t="str">
        <x:v>살수 뒤의 사람들</x:v>
      </x:c>
      <x:c r="D45" s="13" t="str">
        <x:v>612년 살수대첩</x:v>
      </x:c>
      <x:c r="E45" s="34" t="str">
        <x:v>69회 기본 6번</x:v>
      </x:c>
      <x:c r="F45" s="35" t="n">
        <x:v>1</x:v>
      </x:c>
      <x:c r="G45" s="49" t="str">
        <x:v>직접</x:v>
      </x:c>
      <x:c r="H45" s="13" t="str">
        <x:v>C05-S03
공통 연결 뒤</x:v>
      </x:c>
      <x:c r="I45" s="13" t="str">
        <x:v>정답선지 · 을지문덕·살수·수</x:v>
      </x:c>
      <x:c r="J45" s="13" t="str">
        <x:v>장수, 전투, 상대 국가를 지금 들은 승전 소식과 연결한다.</x:v>
      </x:c>
      <x:c r="K45" s="13" t="str">
        <x:v>1. 66회 심화 5번 · ①
직접 · 정답선지① · 고구려의 살수대첩
→ C09-S01 공통 연결 뒤</x:v>
      </x:c>
      <x:c r="L45" s="13" t="str">
        <x:v>—</x:v>
      </x:c>
      <x:c r="M45" s="13" t="str">
        <x:v>—</x:v>
      </x:c>
    </x:row>
    <x:row r="46" ht="53.25" customHeight="1">
      <x:c r="A46" s="15" t="str">
        <x:v>CH05</x:v>
      </x:c>
      <x:c r="B46" s="15" t="str">
        <x:v>THR-C05-S04</x:v>
      </x:c>
      <x:c r="C46" s="16" t="str">
        <x:v>길게 쌓는 돌</x:v>
      </x:c>
      <x:c r="D46" s="16" t="str">
        <x:v>영류왕대 천리장성 축조</x:v>
      </x:c>
      <x:c r="E46" s="32" t="str">
        <x:v>59회 심화 4번</x:v>
      </x:c>
      <x:c r="F46" s="33" t="n">
        <x:v>1</x:v>
      </x:c>
      <x:c r="G46" s="49" t="str">
        <x:v>직접</x:v>
      </x:c>
      <x:c r="H46" s="16" t="str">
        <x:v>C05-S08
공통 연결 뒤</x:v>
      </x:c>
      <x:c r="I46" s="16" t="str">
        <x:v>정답선지① · 천리장성 축조 감독</x:v>
      </x:c>
      <x:c r="J46" s="16" t="str">
        <x:v>연개소문과 공사를 연결하지만 문항은 정변과 당 침입의 결과도 말하므로 S08 뒤로 둔다.</x:v>
      </x:c>
      <x:c r="K46" s="16" t="str">
        <x:v>1. 61회 심화 4번 · ①
선지학습 · 오답선지⑤ · 당에 대비한 천리장성
→ C05-S04 공통 연결 뒤</x:v>
      </x:c>
      <x:c r="L46" s="16" t="str">
        <x:v>—</x:v>
      </x:c>
      <x:c r="M46" s="16" t="str">
        <x:v>—</x:v>
      </x:c>
    </x:row>
    <x:row r="47" ht="42" customHeight="1">
      <x:c r="A47" s="10" t="str">
        <x:v>CH05</x:v>
      </x:c>
      <x:c r="B47" s="10" t="str">
        <x:v>THR-C05-S05</x:v>
      </x:c>
      <x:c r="C47" s="13" t="str">
        <x:v>뒤집힌 왕실</x:v>
      </x:c>
      <x:c r="D47" s="13" t="str">
        <x:v>642년 연개소문 정변과 보장왕</x:v>
      </x:c>
      <x:c r="E47" s="34" t="str">
        <x:v>59회 심화 4번</x:v>
      </x:c>
      <x:c r="F47" s="35" t="n">
        <x:v>1</x:v>
      </x:c>
      <x:c r="G47" s="49" t="str">
        <x:v>직접</x:v>
      </x:c>
      <x:c r="H47" s="13" t="str">
        <x:v>C05-S08
공통 연결 뒤</x:v>
      </x:c>
      <x:c r="I47" s="13" t="str">
        <x:v>자료 · 영류왕 시해·대막리지; 정답 · 천리장성</x:v>
      </x:c>
      <x:c r="J47" s="13" t="str">
        <x:v>공사를 감독한 인물과 정변을 일으킨 인물을 연결하고 당 전쟁 뒤에 전체 자료를 읽는다.</x:v>
      </x:c>
      <x:c r="K47" s="13" t="str">
        <x:v>—</x:v>
      </x:c>
      <x:c r="L47" s="13" t="str">
        <x:v>—</x:v>
      </x:c>
      <x:c r="M47" s="13" t="str">
        <x:v>—</x:v>
      </x:c>
    </x:row>
    <x:row r="48" ht="53.25" customHeight="1">
      <x:c r="A48" s="15" t="str">
        <x:v>CH05</x:v>
      </x:c>
      <x:c r="B48" s="15" t="str">
        <x:v>THR-C05-S06</x:v>
      </x:c>
      <x:c r="C48" s="16" t="str">
        <x:v>당군이 온다</x:v>
      </x:c>
      <x:c r="D48" s="16" t="str">
        <x:v>645년 당 태종의 고구려 침입</x:v>
      </x:c>
      <x:c r="E48" s="32" t="str">
        <x:v>68회 심화 5번</x:v>
      </x:c>
      <x:c r="F48" s="33" t="n">
        <x:v>2</x:v>
      </x:c>
      <x:c r="G48" s="49" t="str">
        <x:v>직접</x:v>
      </x:c>
      <x:c r="H48" s="16" t="str">
        <x:v>C13-S04
공통 연결 뒤</x:v>
      </x:c>
      <x:c r="I48" s="16" t="str">
        <x:v>정답선지 · 안시성의 당군 격퇴</x:v>
      </x:c>
      <x:c r="J48" s="16" t="str">
        <x:v>당의 침입을 안시성 항전으로 이어 간다. 전체 원문에는 김춘추의 외교 자료가 있어 그 내용을 배우는 신라 CH13S04 뒤에 푼다.</x:v>
      </x:c>
      <x:c r="K48" s="16" t="str">
        <x:v>—</x:v>
      </x:c>
      <x:c r="L48" s="16" t="str">
        <x:v>—</x:v>
      </x:c>
      <x:c r="M48" s="16" t="str">
        <x:v>원문의 대야성 패배·김춘추의 고구려 원병 요청·당의 군사 파견 승낙을 여기서 먼저 공개하지 않는다.</x:v>
      </x:c>
    </x:row>
    <x:row r="49" ht="53.25" customHeight="1">
      <x:c r="A49" s="10" t="str">
        <x:v>CH05</x:v>
      </x:c>
      <x:c r="B49" s="10" t="str">
        <x:v>THR-C05-S07</x:v>
      </x:c>
      <x:c r="C49" s="13" t="str">
        <x:v>안시성의 흙자루</x:v>
      </x:c>
      <x:c r="D49" s="13" t="str">
        <x:v>안시성 포위와 군사·주민의 항전</x:v>
      </x:c>
      <x:c r="E49" s="34" t="str">
        <x:v>68회 심화 5번</x:v>
      </x:c>
      <x:c r="F49" s="35" t="n">
        <x:v>2</x:v>
      </x:c>
      <x:c r="G49" s="49" t="str">
        <x:v>직접</x:v>
      </x:c>
      <x:c r="H49" s="13" t="str">
        <x:v>C13-S04
공통 연결 뒤</x:v>
      </x:c>
      <x:c r="I49" s="13" t="str">
        <x:v>정답선지 · 안시성 군사와 백성의 항전</x:v>
      </x:c>
      <x:c r="J49" s="13" t="str">
        <x:v>군사와 백성이 버티는 현장을 본 뒤 철수 장면에서 결과를 확인한다. 전체 연대 문제는 김춘추 외교 학습 뒤로 보류한다.</x:v>
      </x:c>
      <x:c r="K49" s="13" t="str">
        <x:v>—</x:v>
      </x:c>
      <x:c r="L49" s="13" t="str">
        <x:v>—</x:v>
      </x:c>
      <x:c r="M49" s="13" t="str">
        <x:v>—</x:v>
      </x:c>
    </x:row>
    <x:row r="50" ht="53.25" customHeight="1">
      <x:c r="A50" s="15" t="str">
        <x:v>CH05</x:v>
      </x:c>
      <x:c r="B50" s="15" t="str">
        <x:v>THR-C05-S08</x:v>
      </x:c>
      <x:c r="C50" s="16" t="str">
        <x:v>철수의 아침</x:v>
      </x:c>
      <x:c r="D50" s="16" t="str">
        <x:v>안시성 방어와 당군 철수</x:v>
      </x:c>
      <x:c r="E50" s="32" t="str">
        <x:v>68회 심화 5번</x:v>
      </x:c>
      <x:c r="F50" s="33" t="n">
        <x:v>2</x:v>
      </x:c>
      <x:c r="G50" s="49" t="str">
        <x:v>직접</x:v>
      </x:c>
      <x:c r="H50" s="16" t="str">
        <x:v>C13-S04
공통 연결 뒤</x:v>
      </x:c>
      <x:c r="I50" s="16" t="str">
        <x:v>정답선지 · 645년 안시성 전투</x:v>
      </x:c>
      <x:c r="J50" s="16" t="str">
        <x:v>전투의 국가·연도·결과를 학습한 지점이다. 원문의 두 외교 자료까지 이해하는 CH13S04에서 연대 사이 사건을 고른다.</x:v>
      </x:c>
      <x:c r="K50" s="16" t="str">
        <x:v>1. 59회 심화 4번 · ①
직접 · 자료의 당 침입 격퇴와 연개소문
→ C05-S08 공통 연결 뒤</x:v>
      </x:c>
      <x:c r="L50" s="16" t="str">
        <x:v>—</x:v>
      </x:c>
      <x:c r="M50" s="16" t="str">
        <x:v>—</x:v>
      </x:c>
    </x:row>
    <x:row r="51" ht="42" customHeight="1">
      <x:c r="A51" s="10" t="str">
        <x:v>CH05</x:v>
      </x:c>
      <x:c r="B51" s="10" t="str">
        <x:v>THR-C05-S09</x:v>
      </x:c>
      <x:c r="C51" s="13" t="str">
        <x:v>서로 다른 유언</x:v>
      </x:c>
      <x:c r="D51" s="13" t="str">
        <x:v>연개소문 사후 내분과 당에 의지한 연남생</x:v>
      </x:c>
      <x:c r="E51" s="34" t="str">
        <x:v>73회 기본 7번</x:v>
      </x:c>
      <x:c r="F51" s="35" t="n">
        <x:v>4</x:v>
      </x:c>
      <x:c r="G51" s="40" t="str">
        <x:v>서사연결</x:v>
      </x:c>
      <x:c r="H51" s="13" t="str">
        <x:v>C13-S08
공통 연결 뒤</x:v>
      </x:c>
      <x:c r="I51" s="13" t="str">
        <x:v>정답선지 · 나당 연합군의 평양성 점령</x:v>
      </x:c>
      <x:c r="J51" s="13" t="str">
        <x:v>멸망으로 이어지는 배경이다. 다음 씬에서 결과를 본 뒤, 백제 멸망 자료도 학습한 신라 CH13S08에서 통합해 푼다.</x:v>
      </x:c>
      <x:c r="K51" s="13" t="str">
        <x:v>—</x:v>
      </x:c>
      <x:c r="L51" s="13" t="str">
        <x:v>—</x:v>
      </x:c>
      <x:c r="M51" s="13" t="str">
        <x:v>이 문항은 내분의 원인을 직접 묻지 않는다. 멸망을 한 사람의 잘못만으로 설명하지 않는다.</x:v>
      </x:c>
    </x:row>
    <x:row r="52" ht="53.25" customHeight="1">
      <x:c r="A52" s="15" t="str">
        <x:v>CH05</x:v>
      </x:c>
      <x:c r="B52" s="15" t="str">
        <x:v>THR-C05-S10</x:v>
      </x:c>
      <x:c r="C52" s="16" t="str">
        <x:v>평양의 마지막 문</x:v>
      </x:c>
      <x:c r="D52" s="16" t="str">
        <x:v>668년 고구려 멸망과 안동도호부</x:v>
      </x:c>
      <x:c r="E52" s="32" t="str">
        <x:v>73회 기본 7번</x:v>
      </x:c>
      <x:c r="F52" s="33" t="n">
        <x:v>4</x:v>
      </x:c>
      <x:c r="G52" s="49" t="str">
        <x:v>직접</x:v>
      </x:c>
      <x:c r="H52" s="16" t="str">
        <x:v>C13-S08
공통 연결 뒤</x:v>
      </x:c>
      <x:c r="I52" s="16" t="str">
        <x:v>정답선지 · 평양성 점령</x:v>
      </x:c>
      <x:c r="J52" s="16" t="str">
        <x:v>나당 연합군에 의한 고구려 멸망을 확인한다. 자료의 의자왕·부여융 항복을 먼저 공개하지 않도록 백제 본편을 거친 CH13S08에서 전체 문제를 푼다.</x:v>
      </x:c>
      <x:c r="K52" s="16" t="str">
        <x:v>—</x:v>
      </x:c>
      <x:c r="L52" s="16" t="str">
        <x:v>—</x:v>
      </x:c>
      <x:c r="M52" s="16" t="str">
        <x:v>—</x:v>
      </x:c>
    </x:row>
    <x:row r="53" ht="53.25" customHeight="1">
      <x:c r="A53" s="10" t="str">
        <x:v>CH05</x:v>
      </x:c>
      <x:c r="B53" s="10" t="str">
        <x:v>THR-C05-S11</x:v>
      </x:c>
      <x:c r="C53" s="13" t="str">
        <x:v>나라 뒤에 남은 이름</x:v>
      </x:c>
      <x:c r="D53" s="13" t="str">
        <x:v>검모잠·안승 등 고구려 부흥 세력</x:v>
      </x:c>
      <x:c r="E53" s="34" t="str">
        <x:v>65회 심화 6번</x:v>
      </x:c>
      <x:c r="F53" s="35" t="n">
        <x:v>5</x:v>
      </x:c>
      <x:c r="G53" s="49" t="str">
        <x:v>직접</x:v>
      </x:c>
      <x:c r="H53" s="13" t="str">
        <x:v>C13-S10
공통 연결 뒤</x:v>
      </x:c>
      <x:c r="I53" s="13" t="str">
        <x:v>정답선지⑤ · 검모잠·안승 부흥 운동</x:v>
      </x:c>
      <x:c r="J53" s="13" t="str">
        <x:v>지금 확인한 부흥 운동을 정답 사건으로 연결한다. 문항 자료의 매소성까지 학습한 신라 CH13 뒤에 전체 문제를 푼다.</x:v>
      </x:c>
      <x:c r="K53" s="13" t="str">
        <x:v>1. 61회 심화 7번 · ②
직접 · 정답선지② · 안승의 보덕왕 책봉
→ C13-S10 공통 연결 뒤</x:v>
      </x:c>
      <x:c r="L53" s="13" t="str">
        <x:v>—</x:v>
      </x:c>
      <x:c r="M53" s="13" t="str">
        <x:v>현장 이야기의 670년과 뒤의 674년 보덕왕 책봉을 합치지 않는다.</x:v>
      </x:c>
    </x:row>
    <x:row r="54" ht="53.25" customHeight="1">
      <x:c r="A54" s="15" t="str">
        <x:v>CH05</x:v>
      </x:c>
      <x:c r="B54" s="15" t="str">
        <x:v>THR-C05-S12</x:v>
      </x:c>
      <x:c r="C54" s="16" t="str">
        <x:v>다시 한강으로</x:v>
      </x:c>
      <x:c r="D54" s="16" t="str">
        <x:v>고구려에서 260년 백제로 재방문</x:v>
      </x:c>
      <x:c r="E54" s="32" t="str">
        <x:v>78회 심화 6번</x:v>
      </x:c>
      <x:c r="F54" s="33" t="n">
        <x:v>4</x:v>
      </x:c>
      <x:c r="G54" s="39" t="str">
        <x:v>서사연결</x:v>
      </x:c>
      <x:c r="H54" s="16" t="str">
        <x:v>C09-S03
공통 연결 뒤</x:v>
      </x:c>
      <x:c r="I54" s="16" t="str">
        <x:v>정답선지④ · 백제 6좌평·달솔</x:v>
      </x:c>
      <x:c r="J54" s="16" t="str">
        <x:v>관복 작업장으로 가는 예고를 백제의 관등 제도와 연결한다. 자료에 마지막 수도 부여가 나오므로 세 수도를 정리한 CH09S03 뒤에 푼다.</x:v>
      </x:c>
      <x:c r="K54" s="16" t="str">
        <x:v>—</x:v>
      </x:c>
      <x:c r="L54" s="16" t="str">
        <x:v>—</x:v>
      </x:c>
      <x:c r="M54" s="16" t="str">
        <x:v>전환 씬에는 새 기출을 즉시 띄우지 않는다. 6좌평·달솔은 CH06에서 배우고, 전체 원문은 백제 세 수도를 확인한 뒤에 연다.</x:v>
      </x:c>
    </x:row>
    <x:row r="55" ht="67.5" customHeight="1">
      <x:c r="A55" s="47" t="str">
        <x:v>CH06</x:v>
      </x:c>
      <x:c r="B55" s="42" t="str">
        <x:v>THR-C06-S01</x:v>
      </x:c>
      <x:c r="C55" s="43" t="str">
        <x:v>관복을 빌린 아이</x:v>
      </x:c>
      <x:c r="D55" s="43" t="str">
        <x:v>고이왕대 관등·공복 정비를 옷의 색과 착용 자격으로 체감한다.</x:v>
      </x:c>
      <x:c r="E55" s="44" t="str">
        <x:v>78회 심화 6번</x:v>
      </x:c>
      <x:c r="F55" s="45" t="n">
        <x:v>4</x:v>
      </x:c>
      <x:c r="G55" s="46" t="str">
        <x:v>서사연결</x:v>
      </x:c>
      <x:c r="H55" s="43" t="str">
        <x:v>C09-S03
공통 연결 뒤</x:v>
      </x:c>
      <x:c r="I55" s="43" t="str">
        <x:v>정답선지④의 6좌평·관등 체계로 이어지는 관복 도입</x:v>
      </x:c>
      <x:c r="J55" s="43" t="str">
        <x:v>옷을 빌린 아이의 사건은 관등과 공복이 신분을 드러내는 장면이다. 다음 씬에서 6좌평·16관등을 확인한 뒤 학습 연결을 유지하고, 원문 자료의 마지막 수도까지 아는 세 수도 정리 씬에서 푼다.</x:v>
      </x:c>
      <x:c r="K55" s="43" t="str">
        <x:v>—</x:v>
      </x:c>
      <x:c r="L55" s="43" t="str">
        <x:v>기록책: 지금 지명으로 표시한 지도에서 웅진은 공주, 사비는 부여와 이어져 있어. 세 수도의 위치와 예전에 보았던 관등표를 함께 펼쳐 보자.</x:v>
      </x:c>
      <x:c r="M55" s="43" t="str">
        <x:v>원문은 고이왕 개인의 업적을 묻지 않는다. 마지막 수도 부여를 자료로 제시하므로 이 도입에서 전체 문항을 공개하지 않는다.</x:v>
      </x:c>
    </x:row>
    <x:row r="56" ht="67.5" customHeight="1">
      <x:c r="A56" s="15" t="str">
        <x:v>CH06</x:v>
      </x:c>
      <x:c r="B56" s="15" t="str">
        <x:v>THR-C06-S02</x:v>
      </x:c>
      <x:c r="C56" s="16" t="str">
        <x:v>여섯 자리의 권한</x:v>
      </x:c>
      <x:c r="D56" s="16" t="str">
        <x:v>6좌평의 업무 분담과 16관등의 서열을 구별하고 고이왕대 국가 조직 정비를 이해한다.</x:v>
      </x:c>
      <x:c r="E56" s="32" t="str">
        <x:v>78회 심화 6번</x:v>
      </x:c>
      <x:c r="F56" s="33" t="n">
        <x:v>4</x:v>
      </x:c>
      <x:c r="G56" s="49" t="str">
        <x:v>직접</x:v>
      </x:c>
      <x:c r="H56" s="16" t="str">
        <x:v>C09-S03
공통 연결 뒤</x:v>
      </x:c>
      <x:c r="I56" s="16" t="str">
        <x:v>정답선지④(6좌평 아래 달솔 등의 관등)</x:v>
      </x:c>
      <x:c r="J56" s="16" t="str">
        <x:v>내두좌평의 업무와 6좌평·16관등의 차이가 실제 대사에 나온다. 백제의 제도를 고르는 정답과 직접 연결하되 사비·부여의 위치를 배운 뒤 국가 식별 자료와 함께 푼다.</x:v>
      </x:c>
      <x:c r="K56" s="16" t="str">
        <x:v>—</x:v>
      </x:c>
      <x:c r="L56" s="16" t="str">
        <x:v>기록책: 지금 지명으로 표시한 지도에서 웅진은 공주, 사비는 부여와 이어져 있어. 세 수도의 위치와 예전에 보았던 관등표를 함께 펼쳐 보자.</x:v>
      </x:c>
      <x:c r="M56" s="16" t="str">
        <x:v>6좌평·16관등의 정비를 고이왕의 한 해에 모두 완성된 확정 사실로 고쳐 쓰지 않는다. 8성 귀족을 아직 배우지 않았으므로 그 내용을 정답으로 하는 61심화3은 여기서 대표 문제로 삼지 않는다.</x:v>
      </x:c>
    </x:row>
    <x:row r="57" ht="53.25" customHeight="1">
      <x:c r="A57" s="10" t="str">
        <x:v>CH06</x:v>
      </x:c>
      <x:c r="B57" s="10" t="str">
        <x:v>THR-C06-S03</x:v>
      </x:c>
      <x:c r="C57" s="13" t="str">
        <x:v>남쪽에서 온 토기</x:v>
      </x:c>
      <x:c r="D57" s="13" t="str">
        <x:v>고이왕의 목지국 제압과 근초고왕대 마한 방면 진출·대외 교역 확대를 구별한다.</x:v>
      </x:c>
      <x:c r="E57" s="34" t="str">
        <x:v>64회 기본 3번</x:v>
      </x:c>
      <x:c r="F57" s="35" t="n">
        <x:v>3</x:v>
      </x:c>
      <x:c r="G57" s="49" t="str">
        <x:v>직접</x:v>
      </x:c>
      <x:c r="H57" s="13" t="str">
        <x:v>C06-S07
공통 연결 뒤</x:v>
      </x:c>
      <x:c r="I57" s="13" t="str">
        <x:v>자료의 근초고왕·마한 복속·동진 및 왜 교류</x:v>
      </x:c>
      <x:c r="J57" s="13" t="str">
        <x:v>문항 기획안의 마한·동진·왜 항목이 이 장의 교역과 남진을 묶는다. 평양 공격의 결과와 사신 교류까지 본 CH06S07 뒤에 빈칸의 업적을 고른다.</x:v>
      </x:c>
      <x:c r="K57" s="13" t="str">
        <x:v>—</x:v>
      </x:c>
      <x:c r="L57" s="13" t="str">
        <x:v>—</x:v>
      </x:c>
      <x:c r="M57" s="13" t="str">
        <x:v>목지국 제압, 여러 마한 세력의 복속, 요서·규슈 직접 지배 논쟁을 같은 사실로 합치지 않는다. 요서·규슈 관련 해석을 직접 묻는 문항은 이번 검증 은행에 없다.</x:v>
      </x:c>
    </x:row>
    <x:row r="58" ht="53.25" customHeight="1">
      <x:c r="A58" s="15" t="str">
        <x:v>CH06</x:v>
      </x:c>
      <x:c r="B58" s="15" t="str">
        <x:v>THR-C06-S04</x:v>
      </x:c>
      <x:c r="C58" s="16" t="str">
        <x:v>평양을 향한 배</x:v>
      </x:c>
      <x:c r="D58" s="16" t="str">
        <x:v>근초고왕의 평양 원정과 군량 수송을 전투 결과 이전의 시점에서 따라간다.</x:v>
      </x:c>
      <x:c r="E58" s="32" t="str">
        <x:v>64회 기본 3번</x:v>
      </x:c>
      <x:c r="F58" s="33" t="n">
        <x:v>3</x:v>
      </x:c>
      <x:c r="G58" s="39" t="str">
        <x:v>서사연결</x:v>
      </x:c>
      <x:c r="H58" s="16" t="str">
        <x:v>C06-S07
공통 연결 뒤</x:v>
      </x:c>
      <x:c r="I58" s="16" t="str">
        <x:v>정답선지③(고국원왕 전사)에 앞선 평양 출정</x:v>
      </x:c>
      <x:c r="J58" s="16" t="str">
        <x:v>이 씬에는 원정 준비만 나오므로 고국원왕의 죽음을 아직 묻지 않는다. 승전보와 대외 교류 장면을 마친 뒤 같은 원정의 결과를 확인한다.</x:v>
      </x:c>
      <x:c r="K58" s="16" t="str">
        <x:v>—</x:v>
      </x:c>
      <x:c r="L58" s="16" t="str">
        <x:v>—</x:v>
      </x:c>
      <x:c r="M58" s="16" t="str">
        <x:v>출항 중에 원문 정답을 미리 공개하지 않는다.</x:v>
      </x:c>
    </x:row>
    <x:row r="59" ht="53.25" customHeight="1">
      <x:c r="A59" s="10" t="str">
        <x:v>CH06</x:v>
      </x:c>
      <x:c r="B59" s="10" t="str">
        <x:v>THR-C06-S05</x:v>
      </x:c>
      <x:c r="C59" s="13" t="str">
        <x:v>돌아온 승전보</x:v>
      </x:c>
      <x:c r="D59" s="13" t="str">
        <x:v>371년 근초고왕의 평양 공격으로 고국원왕이 전사한 사실과 전쟁 피해를 함께 기억한다.</x:v>
      </x:c>
      <x:c r="E59" s="34" t="str">
        <x:v>64회 기본 3번</x:v>
      </x:c>
      <x:c r="F59" s="35" t="n">
        <x:v>3</x:v>
      </x:c>
      <x:c r="G59" s="49" t="str">
        <x:v>직접</x:v>
      </x:c>
      <x:c r="H59" s="13" t="str">
        <x:v>C06-S07
공통 연결 뒤</x:v>
      </x:c>
      <x:c r="I59" s="13" t="str">
        <x:v>정답선지③(고국원왕을 전사시키다)</x:v>
      </x:c>
      <x:c r="J59" s="13" t="str">
        <x:v>승전보에 근초고왕의 공격과 고국원왕의 전사가 명시된다. 부상병을 돌보는 공통 대사를 마치고, 외교까지 정리되는 CH06S07에서 근초고왕의 업적을 묶어 푼다.</x:v>
      </x:c>
      <x:c r="K59" s="13" t="str">
        <x:v>1. 76회 심화 3번 · ③
직접 · 자료(나): 백제의 평양성 공격과 고구려왕 사유의 전사
→ C08-S10 공통 연결 뒤</x:v>
      </x:c>
      <x:c r="L59" s="13" t="str">
        <x:v>—</x:v>
      </x:c>
      <x:c r="M59" s="13" t="str">
        <x:v>76심화3은 475년·554년 사건까지 자료에 나오므로 이 씬에서는 학습 연결만 저장한다.</x:v>
      </x:c>
    </x:row>
    <x:row r="60" ht="53.25" customHeight="1">
      <x:c r="A60" s="15" t="str">
        <x:v>CH06</x:v>
      </x:c>
      <x:c r="B60" s="15" t="str">
        <x:v>THR-C06-S06</x:v>
      </x:c>
      <x:c r="C60" s="16" t="str">
        <x:v>바다 건너의 칼</x:v>
      </x:c>
      <x:c r="D60" s="16" t="str">
        <x:v>칠지도의 형태와 백제·왜의 교류를 제작·포장 과정에서 익힌다.</x:v>
      </x:c>
      <x:c r="E60" s="32" t="str">
        <x:v>63회 기본 5번</x:v>
      </x:c>
      <x:c r="F60" s="33" t="n">
        <x:v>1</x:v>
      </x:c>
      <x:c r="G60" s="49" t="str">
        <x:v>직접</x:v>
      </x:c>
      <x:c r="H60" s="16" t="str">
        <x:v>C06-S06
공통 연결 뒤</x:v>
      </x:c>
      <x:c r="I60" s="16" t="str">
        <x:v>정답선지①(칠지도 사진과 명칭)</x:v>
      </x:c>
      <x:c r="J60" s="16" t="str">
        <x:v>원문 제목이 백제의 대외 교류를 명시하며 칠지도 사진을 고르게 한다. 여섯 곁가지와 칼끝, 왜로 보내는 제작품을 본 뒤 공통 포장 대사 다음에 바로 풀 수 있다.</x:v>
      </x:c>
      <x:c r="K60" s="16" t="str">
        <x:v>—</x:v>
      </x:c>
      <x:c r="L60" s="16" t="str">
        <x:v>—</x:v>
      </x:c>
      <x:c r="M60" s="16" t="str">
        <x:v>원문 사진전의 무령왕릉·금동대향로는 보조 자료다. 이 시점에는 두 유산의 제작 연대를 설명하거나 아직 만나지 않은 왕의 최후를 끌어오지 않는다.</x:v>
      </x:c>
    </x:row>
    <x:row r="61" ht="53.25" customHeight="1">
      <x:c r="A61" s="10" t="str">
        <x:v>CH06</x:v>
      </x:c>
      <x:c r="B61" s="10" t="str">
        <x:v>THR-C06-S07</x:v>
      </x:c>
      <x:c r="C61" s="13" t="str">
        <x:v>사신의 말은 다르다</x:v>
      </x:c>
      <x:c r="D61" s="13" t="str">
        <x:v>근초고왕의 동진·왜 교류와 고흥의 서기 편찬을 연결한다.</x:v>
      </x:c>
      <x:c r="E61" s="34" t="str">
        <x:v>64회 기본 3번</x:v>
      </x:c>
      <x:c r="F61" s="35" t="n">
        <x:v>3</x:v>
      </x:c>
      <x:c r="G61" s="49" t="str">
        <x:v>직접</x:v>
      </x:c>
      <x:c r="H61" s="13" t="str">
        <x:v>C06-S07
공통 연결 뒤</x:v>
      </x:c>
      <x:c r="I61" s="13" t="str">
        <x:v>자료의 남조 동진·왜 교류 및 정답선지③</x:v>
      </x:c>
      <x:c r="J61" s="13" t="str">
        <x:v>마한 진출, 평양 공격, 동진·왜 교류가 모두 대사로 갖춰지는 지점이다. 통역을 마치고 목을 축이는 공통 대사 뒤에 근초고왕 단원을 한 번 정리한다.</x:v>
      </x:c>
      <x:c r="K61" s="13" t="str">
        <x:v>1. 77회 심화 5번 · ③
선지학습 · 오답선지②(고흥에게 서기를 편찬하게 함)
→ C08-S03 공통 연결 뒤</x:v>
      </x:c>
      <x:c r="L61" s="13" t="str">
        <x:v>—</x:v>
      </x:c>
      <x:c r="M61" s="13" t="str">
        <x:v>서기 편찬을 틀린 역사 사실이라고 설명하지 않는다. 무령왕 문항의 오답이라는 왕별 구분을 유지한다.</x:v>
      </x:c>
    </x:row>
    <x:row r="62" ht="53.25" customHeight="1">
      <x:c r="A62" s="15" t="str">
        <x:v>CH06</x:v>
      </x:c>
      <x:c r="B62" s="15" t="str">
        <x:v>THR-C06-S08</x:v>
      </x:c>
      <x:c r="C62" s="16" t="str">
        <x:v>처음 맞는 승려</x:v>
      </x:c>
      <x:c r="D62" s="16" t="str">
        <x:v>침류왕대 동진 승려 마라난타를 통한 백제 불교 수용을 익힌다.</x:v>
      </x:c>
      <x:c r="E62" s="32" t="str">
        <x:v>77회 심화 5번</x:v>
      </x:c>
      <x:c r="F62" s="33" t="n">
        <x:v>3</x:v>
      </x:c>
      <x:c r="G62" s="48" t="str">
        <x:v>선지학습</x:v>
      </x:c>
      <x:c r="H62" s="16" t="str">
        <x:v>C08-S03
공통 연결 뒤</x:v>
      </x:c>
      <x:c r="I62" s="16" t="str">
        <x:v>오답선지④(동진의 마라난타를 통한 불교 수용)</x:v>
      </x:c>
      <x:c r="J62" s="16" t="str">
        <x:v>마라난타의 방문과 침류왕의 수용이 이 씬의 내용이다. 해당 업적은 원문의 주인공 무령왕에게는 맞지 않으므로, 무령왕과 그의 왕릉을 배운 CH08S03에서 왕별로 구별한다.</x:v>
      </x:c>
      <x:c r="K62" s="16" t="str">
        <x:v>—</x:v>
      </x:c>
      <x:c r="L62" s="16" t="str">
        <x:v>—</x:v>
      </x:c>
      <x:c r="M62" s="16" t="str">
        <x:v>침류왕 불교 수용 자체를 정답으로 묻는 직접 문항은 이번 선정 은행에 없다. 소수림왕·순도의 고구려 불교 수용과 혼동하지 않도록 기존 대사를 유지한다.</x:v>
      </x:c>
    </x:row>
    <x:row r="63" ht="67.5" customHeight="1">
      <x:c r="A63" s="10" t="str">
        <x:v>CH06</x:v>
      </x:c>
      <x:c r="B63" s="10" t="str">
        <x:v>THR-C06-S09</x:v>
      </x:c>
      <x:c r="C63" s="13" t="str">
        <x:v>오래된 강의 경고</x:v>
      </x:c>
      <x:c r="D63" s="13" t="str">
        <x:v>475년 한성 위기와 장수왕의 남진으로 다음 장의 피란 서사에 진입한다.</x:v>
      </x:c>
      <x:c r="E63" s="34" t="str">
        <x:v>75회 기본 2번</x:v>
      </x:c>
      <x:c r="F63" s="35" t="n">
        <x:v>3</x:v>
      </x:c>
      <x:c r="G63" s="40" t="str">
        <x:v>서사연결</x:v>
      </x:c>
      <x:c r="H63" s="13" t="str">
        <x:v>C07-S02
공통 연결 뒤</x:v>
      </x:c>
      <x:c r="I63" s="13" t="str">
        <x:v>자료의 한성 함락과 정답선지③(장수왕의 평양 천도)</x:v>
      </x:c>
      <x:c r="J63" s="13" t="str">
        <x:v>한성의 닫히는 성문은 장수왕 남진의 결과를 보여 주는 도입이다. 개로왕의 죽음과 한성 함락을 확인하는 CH07S02까지 문제를 미루고, 고구려 장에서 배운 평양 천도를 복습한다.</x:v>
      </x:c>
      <x:c r="K63" s="13" t="str">
        <x:v>—</x:v>
      </x:c>
      <x:c r="L63" s="13" t="str">
        <x:v>—</x:v>
      </x:c>
      <x:c r="M63" s="13" t="str">
        <x:v>정답③은 장수왕의 427년 평양 천도다. 백제 피란 장면에서 새 왕의 업적을 추측하도록 만들지 않는다.</x:v>
      </x:c>
    </x:row>
    <x:row r="64" ht="53.25" customHeight="1">
      <x:c r="A64" s="57" t="str">
        <x:v>CH07</x:v>
      </x:c>
      <x:c r="B64" s="52" t="str">
        <x:v>THR-C07-S01</x:v>
      </x:c>
      <x:c r="C64" s="53" t="str">
        <x:v>문이 닫히기 전에</x:v>
      </x:c>
      <x:c r="D64" s="53" t="str">
        <x:v>475년 한성 함락을 성문 앞 피란민의 시점에서 경험한다.</x:v>
      </x:c>
      <x:c r="E64" s="54" t="str">
        <x:v>75회 기본 2번</x:v>
      </x:c>
      <x:c r="F64" s="55" t="n">
        <x:v>3</x:v>
      </x:c>
      <x:c r="G64" s="56" t="str">
        <x:v>서사연결</x:v>
      </x:c>
      <x:c r="H64" s="53" t="str">
        <x:v>C07-S02
공통 연결 뒤</x:v>
      </x:c>
      <x:c r="I64" s="53" t="str">
        <x:v>자료의 한성 함락</x:v>
      </x:c>
      <x:c r="J64" s="53" t="str">
        <x:v>가족을 성문 밖으로 옮기는 도입에서는 퀴즈를 띄우지 않는다. 다음 씬에서 함락과 왕의 죽음을 확인한 뒤, 이미 학습한 장수왕의 평양 천도와 연결한다.</x:v>
      </x:c>
      <x:c r="K64" s="53" t="str">
        <x:v>—</x:v>
      </x:c>
      <x:c r="L64" s="53" t="str">
        <x:v>—</x:v>
      </x:c>
      <x:c r="M64" s="53" t="str">
        <x:v>성문을 통과하는 선택지와 역사 정답을 섞지 않는다.</x:v>
      </x:c>
    </x:row>
    <x:row r="65" ht="53.25" customHeight="1">
      <x:c r="A65" s="10" t="str">
        <x:v>CH07</x:v>
      </x:c>
      <x:c r="B65" s="10" t="str">
        <x:v>THR-C07-S02</x:v>
      </x:c>
      <x:c r="C65" s="13" t="str">
        <x:v>왕의 부재</x:v>
      </x:c>
      <x:c r="D65" s="13" t="str">
        <x:v>개로왕의 죽음·한성 함락과 문주왕 즉위가 이어졌음을 확인한다.</x:v>
      </x:c>
      <x:c r="E65" s="34" t="str">
        <x:v>75회 기본 2번</x:v>
      </x:c>
      <x:c r="F65" s="35" t="n">
        <x:v>3</x:v>
      </x:c>
      <x:c r="G65" s="49" t="str">
        <x:v>직접</x:v>
      </x:c>
      <x:c r="H65" s="13" t="str">
        <x:v>C07-S02
공통 연결 뒤</x:v>
      </x:c>
      <x:c r="I65" s="13" t="str">
        <x:v>자료의 한성 함락·정답선지③(평양 천도)</x:v>
      </x:c>
      <x:c r="J65" s="13" t="str">
        <x:v>한성을 함락한 왕이 장수왕임을 이미 고구려 장과 이번 소식으로 알고 있다. 공통 전달 대사 뒤에 427년 평양 천도를 찾아 남진과 475년 한성 함락을 연결한다.</x:v>
      </x:c>
      <x:c r="K65" s="13" t="str">
        <x:v>1. 65회 심화 3번 · ②
직접 · 자료의 한성 함락 뒤 문주왕 천도
→ C08-S03 공통 연결 뒤</x:v>
      </x:c>
      <x:c r="L65" s="13" t="str">
        <x:v>—</x:v>
      </x:c>
      <x:c r="M65" s="13" t="str">
        <x:v>문주왕 즉위와 무령왕릉 조성을 같은 시점의 일로 제시하지 않는다.</x:v>
      </x:c>
    </x:row>
    <x:row r="66" ht="53.25" customHeight="1">
      <x:c r="A66" s="15" t="str">
        <x:v>CH07</x:v>
      </x:c>
      <x:c r="B66" s="15" t="str">
        <x:v>THR-C07-S03</x:v>
      </x:c>
      <x:c r="C66" s="16" t="str">
        <x:v>웅진을 고르는 까닭</x:v>
      </x:c>
      <x:c r="D66" s="16" t="str">
        <x:v>문주왕의 웅진 천도와 금강·산지에 기대는 방어·생활 조건을 익힌다.</x:v>
      </x:c>
      <x:c r="E66" s="32" t="str">
        <x:v>65회 심화 3번</x:v>
      </x:c>
      <x:c r="F66" s="33" t="n">
        <x:v>2</x:v>
      </x:c>
      <x:c r="G66" s="49" t="str">
        <x:v>직접</x:v>
      </x:c>
      <x:c r="H66" s="16" t="str">
        <x:v>C08-S03
공통 연결 뒤</x:v>
      </x:c>
      <x:c r="I66" s="16" t="str">
        <x:v>자료의 문주왕·웅진 천도</x:v>
      </x:c>
      <x:c r="J66" s="16" t="str">
        <x:v>문주왕이 옮긴 도읍의 이름과 이유를 대사로 배운다. 그 도읍에서 할 탐구 활동을 고르는 정답은 무령왕릉 답사이므로 해당 왕릉을 실제 본 뒤 푼다.</x:v>
      </x:c>
      <x:c r="K66" s="16" t="str">
        <x:v>—</x:v>
      </x:c>
      <x:c r="L66" s="16" t="str">
        <x:v>—</x:v>
      </x:c>
      <x:c r="M66" s="16" t="str">
        <x:v>웅진을 고르는 순간에 무령왕릉 사진이나 왕의 장례를 미리 보여 주지 않는다.</x:v>
      </x:c>
    </x:row>
    <x:row r="67" ht="67.5" customHeight="1">
      <x:c r="A67" s="10" t="str">
        <x:v>CH07</x:v>
      </x:c>
      <x:c r="B67" s="10" t="str">
        <x:v>THR-C07-S04</x:v>
      </x:c>
      <x:c r="C67" s="13" t="str">
        <x:v>강가의 낯선 이웃</x:v>
      </x:c>
      <x:c r="D67" s="13" t="str">
        <x:v>웅진 천도가 피란민과 원주민의 물·거처·이웃 관계를 바꾼 일을 이해한다.</x:v>
      </x:c>
      <x:c r="E67" s="34" t="str">
        <x:v>65회 심화 3번</x:v>
      </x:c>
      <x:c r="F67" s="35" t="n">
        <x:v>2</x:v>
      </x:c>
      <x:c r="G67" s="40" t="str">
        <x:v>서사연결</x:v>
      </x:c>
      <x:c r="H67" s="13" t="str">
        <x:v>C08-S03
공통 연결 뒤</x:v>
      </x:c>
      <x:c r="I67" s="13" t="str">
        <x:v>자료의 웅진 천도 이후 정착</x:v>
      </x:c>
      <x:c r="J67" s="13" t="str">
        <x:v>물 나눔 장면은 새 수도의 생활을 보여 주며 새로운 왕별 업적을 가르치는 씬은 아니다. 웅진의 장소 기억을 유지하고 무령왕릉을 배운 CH08S03에서 같은 도읍을 찾는 문제로 회수한다.</x:v>
      </x:c>
      <x:c r="K67" s="13" t="str">
        <x:v>—</x:v>
      </x:c>
      <x:c r="L67" s="13" t="str">
        <x:v>—</x:v>
      </x:c>
      <x:c r="M67" s="13" t="str">
        <x:v>다솔·해인의 개인 갈등을 정오 판단 문제로 바꾸지 않는다. 원문에 두 인물이나 물 배분 사례는 없다.</x:v>
      </x:c>
    </x:row>
    <x:row r="68" ht="53.25" customHeight="1">
      <x:c r="A68" s="15" t="str">
        <x:v>CH07</x:v>
      </x:c>
      <x:c r="B68" s="15" t="str">
        <x:v>THR-C07-S05</x:v>
      </x:c>
      <x:c r="C68" s="16" t="str">
        <x:v>끊긴 왕의 이름</x:v>
      </x:c>
      <x:c r="D68" s="16" t="str">
        <x:v>문주왕 피살, 삼근왕 사망, 동성왕 즉위로 이어지는 477~479년의 왕위 변화를 확인한다.</x:v>
      </x:c>
      <x:c r="E68" s="32" t="str">
        <x:v>79회 심화 3번</x:v>
      </x:c>
      <x:c r="F68" s="33" t="n">
        <x:v>2</x:v>
      </x:c>
      <x:c r="G68" s="49" t="str">
        <x:v>직접</x:v>
      </x:c>
      <x:c r="H68" s="16" t="str">
        <x:v>C08-S01
공통 연결 뒤</x:v>
      </x:c>
      <x:c r="I68" s="16" t="str">
        <x:v>자료의 삼근왕 사후라는 시간 조건</x:v>
      </x:c>
      <x:c r="J68" s="16" t="str">
        <x:v>삼근왕 뒤에 동성왕이 즉위하는 순서를 배운다. 원문은 그 이후의 백제 정책을 물으므로 무령왕의 22담로 파견을 익히는 CH08S01까지 미룬다.</x:v>
      </x:c>
      <x:c r="K68" s="16" t="str">
        <x:v>—</x:v>
      </x:c>
      <x:c r="L68" s="16" t="str">
        <x:v>—</x:v>
      </x:c>
      <x:c r="M68" s="16" t="str">
        <x:v>원문에서 공주 왕릉원 2호분을 삼근왕릉으로 보는 설명은 제기된 견해이며 확정 사실로 바꾸지 않는다.</x:v>
      </x:c>
    </x:row>
    <x:row r="69" ht="53.25" customHeight="1">
      <x:c r="A69" s="10" t="str">
        <x:v>CH07</x:v>
      </x:c>
      <x:c r="B69" s="10" t="str">
        <x:v>THR-C07-S06</x:v>
      </x:c>
      <x:c r="C69" s="13" t="str">
        <x:v>다시 모이는 장터</x:v>
      </x:c>
      <x:c r="D69" s="13" t="str">
        <x:v>동성왕대 장터 회복과 신라에 기대는 외교 구상을 따라간다.</x:v>
      </x:c>
      <x:c r="E69" s="34" t="str">
        <x:v>70회 심화 3번</x:v>
      </x:c>
      <x:c r="F69" s="35" t="n">
        <x:v>2</x:v>
      </x:c>
      <x:c r="G69" s="40" t="str">
        <x:v>서사연결</x:v>
      </x:c>
      <x:c r="H69" s="13" t="str">
        <x:v>C07-S08
공통 연결 뒤</x:v>
      </x:c>
      <x:c r="I69" s="13" t="str">
        <x:v>정답선지②(동성왕의 나제 동맹 강화)에 앞선 외교 기대</x:v>
      </x:c>
      <x:c r="J69" s="13" t="str">
        <x:v>혼인 동맹을 기대하는 장터의 말만 나온다. 실제 혼인과 494~495년 상호 지원을 본 CH07S08에서 동맹 강화의 시점을 확인한다.</x:v>
      </x:c>
      <x:c r="K69" s="13" t="str">
        <x:v>—</x:v>
      </x:c>
      <x:c r="L69" s="13" t="str">
        <x:v>—</x:v>
      </x:c>
      <x:c r="M69" s="13" t="str">
        <x:v>소문 단계에서 493년 혼인 사실을 정답으로 먼저 제시하지 않는다.</x:v>
      </x:c>
    </x:row>
    <x:row r="70" ht="53.25" customHeight="1">
      <x:c r="A70" s="15" t="str">
        <x:v>CH07</x:v>
      </x:c>
      <x:c r="B70" s="15" t="str">
        <x:v>THR-C07-S07</x:v>
      </x:c>
      <x:c r="C70" s="16" t="str">
        <x:v>혼인 문서의 무게</x:v>
      </x:c>
      <x:c r="D70" s="16" t="str">
        <x:v>493년 동성왕과 소지왕대의 혼인 동맹이 나제 동맹을 강화했음을 익힌다.</x:v>
      </x:c>
      <x:c r="E70" s="32" t="str">
        <x:v>70회 심화 3번</x:v>
      </x:c>
      <x:c r="F70" s="33" t="n">
        <x:v>2</x:v>
      </x:c>
      <x:c r="G70" s="49" t="str">
        <x:v>직접</x:v>
      </x:c>
      <x:c r="H70" s="16" t="str">
        <x:v>C07-S08
공통 연결 뒤</x:v>
      </x:c>
      <x:c r="I70" s="16" t="str">
        <x:v>정답선지②(백제가 신라와의 동맹을 강화)</x:v>
      </x:c>
      <x:c r="J70" s="16" t="str">
        <x:v>한성 함락 뒤의 사건을 고르는 원문에 동성왕의 동맹 강화가 정답이다. 이 씬의 혼인 문서와 다음 씬의 상호 군사 지원을 함께 본 뒤 푼다.</x:v>
      </x:c>
      <x:c r="K70" s="16" t="str">
        <x:v>—</x:v>
      </x:c>
      <x:c r="L70" s="16" t="str">
        <x:v>—</x:v>
      </x:c>
      <x:c r="M70" s="16" t="str">
        <x:v>433년 동맹 형성과 493년 혼인에 의한 강화를 구별한다. 혼인 상대는 소지왕의 친딸로 고쳐 쓰지 않는다.</x:v>
      </x:c>
    </x:row>
    <x:row r="71" ht="53.25" customHeight="1">
      <x:c r="A71" s="10" t="str">
        <x:v>CH07</x:v>
      </x:c>
      <x:c r="B71" s="10" t="str">
        <x:v>THR-C07-S08</x:v>
      </x:c>
      <x:c r="C71" s="13" t="str">
        <x:v>믿음의 조건</x:v>
      </x:c>
      <x:c r="D71" s="13" t="str">
        <x:v>493년 혼인 동맹과 494~495년 백제·신라의 상호 군사 지원을 연결한다.</x:v>
      </x:c>
      <x:c r="E71" s="34" t="str">
        <x:v>70회 심화 3번</x:v>
      </x:c>
      <x:c r="F71" s="35" t="n">
        <x:v>2</x:v>
      </x:c>
      <x:c r="G71" s="49" t="str">
        <x:v>직접</x:v>
      </x:c>
      <x:c r="H71" s="13" t="str">
        <x:v>C07-S08
공통 연결 뒤</x:v>
      </x:c>
      <x:c r="I71" s="13" t="str">
        <x:v>정답선지②(동성왕의 나제 동맹 강화)</x:v>
      </x:c>
      <x:c r="J71" s="13" t="str">
        <x:v>혼인과 실제 지원을 모두 본 뒤 한성 함락보다 뒤의 사건으로 고를 수 있다. 공통 대사 뒤 한 번 출제하여 CH07S06~08의 연결을 함께 회수한다.</x:v>
      </x:c>
      <x:c r="K71" s="13" t="str">
        <x:v>—</x:v>
      </x:c>
      <x:c r="L71" s="13" t="str">
        <x:v>—</x:v>
      </x:c>
      <x:c r="M71" s="13" t="str">
        <x:v>문항의 정답 문구는 동맹 강화이며, 494년과 495년의 구체적인 지원 순서를 별도 원문 정답으로 꾸미지 않는다.</x:v>
      </x:c>
    </x:row>
    <x:row r="72" ht="53.25" customHeight="1">
      <x:c r="A72" s="15" t="str">
        <x:v>CH07</x:v>
      </x:c>
      <x:c r="B72" s="15" t="str">
        <x:v>THR-C07-S09</x:v>
      </x:c>
      <x:c r="C72" s="16" t="str">
        <x:v>왕릉으로 이어진 길</x:v>
      </x:c>
      <x:c r="D72" s="16" t="str">
        <x:v>동성왕 사후 무령왕의 통치 강화와 22담로 파견으로 넘어간다.</x:v>
      </x:c>
      <x:c r="E72" s="32" t="str">
        <x:v>77회 심화 5번</x:v>
      </x:c>
      <x:c r="F72" s="33" t="n">
        <x:v>3</x:v>
      </x:c>
      <x:c r="G72" s="39" t="str">
        <x:v>서사연결</x:v>
      </x:c>
      <x:c r="H72" s="16" t="str">
        <x:v>C08-S03
공통 연결 뒤</x:v>
      </x:c>
      <x:c r="I72" s="16" t="str">
        <x:v>정답선지③(22담로 왕족 파견)</x:v>
      </x:c>
      <x:c r="J72" s="16" t="str">
        <x:v>기록관이 무령왕과 22담로 파견을 소개하는 연결 씬이다. 다음 장의 파견장과 지석을 모두 확인한 CH08S03 뒤에 무령왕의 업적을 고른다.</x:v>
      </x:c>
      <x:c r="K72" s="16" t="str">
        <x:v>—</x:v>
      </x:c>
      <x:c r="L72" s="16" t="str">
        <x:v>—</x:v>
      </x:c>
      <x:c r="M72" s="16" t="str">
        <x:v>왕릉을 아직 보지 않은 단계에서 원문의 1971년 발굴 자료를 먼저 펼치지 않는다.</x:v>
      </x:c>
    </x:row>
    <x:row r="73" ht="53.25" customHeight="1">
      <x:c r="A73" s="47" t="str">
        <x:v>CH08</x:v>
      </x:c>
      <x:c r="B73" s="42" t="str">
        <x:v>THR-C08-S01</x:v>
      </x:c>
      <x:c r="C73" s="43" t="str">
        <x:v>왕족의 파견장</x:v>
      </x:c>
      <x:c r="D73" s="43" t="str">
        <x:v>무령왕이 지방의 22담로에 왕족을 보내 왕권과 지방 통제를 강화한 일을 익힌다.</x:v>
      </x:c>
      <x:c r="E73" s="44" t="str">
        <x:v>79회 심화 3번</x:v>
      </x:c>
      <x:c r="F73" s="45" t="n">
        <x:v>2</x:v>
      </x:c>
      <x:c r="G73" s="51" t="str">
        <x:v>직접</x:v>
      </x:c>
      <x:c r="H73" s="43" t="str">
        <x:v>C08-S01
공통 연결 뒤</x:v>
      </x:c>
      <x:c r="I73" s="43" t="str">
        <x:v>정답선지②(22담로 왕족 파견)</x:v>
      </x:c>
      <x:c r="J73" s="43" t="str">
        <x:v>삼근왕 이후의 왕위 흐름을 CH07S05에서 배웠고, 이 씬에서 정답 정책을 직접 확인한다. 파견장 공통 대사 뒤에 두 학습을 연결하여 푼다.</x:v>
      </x:c>
      <x:c r="K73" s="43" t="str">
        <x:v>1. 77회 심화 5번 · ③
직접 · 정답선지③(지방의 22담로에 왕족 파견)
→ C08-S03 공통 연결 뒤</x:v>
      </x:c>
      <x:c r="L73" s="43" t="str">
        <x:v>—</x:v>
      </x:c>
      <x:c r="M73" s="43" t="str">
        <x:v>79심화3은 왕릉 주인을 확정하거나 무령왕릉을 식별하는 문제가 아니라 삼근왕 이후의 정책을 고르는 문항이다.</x:v>
      </x:c>
    </x:row>
    <x:row r="74" ht="67.5" customHeight="1">
      <x:c r="A74" s="15" t="str">
        <x:v>CH08</x:v>
      </x:c>
      <x:c r="B74" s="15" t="str">
        <x:v>THR-C08-S02</x:v>
      </x:c>
      <x:c r="C74" s="16" t="str">
        <x:v>담로의 두 장부</x:v>
      </x:c>
      <x:c r="D74" s="16" t="str">
        <x:v>담로 장부에서 토지 면적과 수확량을 구별하고 백제 두락제와 고구려 경무법을 비교한다.</x:v>
      </x:c>
      <x:c r="E74" s="32" t="str">
        <x:v>77회 심화 5번</x:v>
      </x:c>
      <x:c r="F74" s="33" t="n">
        <x:v>3</x:v>
      </x:c>
      <x:c r="G74" s="39" t="str">
        <x:v>서사연결</x:v>
      </x:c>
      <x:c r="H74" s="16" t="str">
        <x:v>C08-S03
공통 연결 뒤</x:v>
      </x:c>
      <x:c r="I74" s="16" t="str">
        <x:v>정답선지③의 22담로 지방 행정</x:v>
      </x:c>
      <x:c r="J74" s="16" t="str">
        <x:v>두 장부의 차이는 22담로 통치가 현장에서 작동하는 모습을 보여 준다. 토지 단위 자체를 물은 기출은 없으므로 같은 정책의 행정 맥락으로 연결하고 왕릉까지 본 뒤 무령왕 문제를 푼다.</x:v>
      </x:c>
      <x:c r="K74" s="16" t="str">
        <x:v>—</x:v>
      </x:c>
      <x:c r="L74" s="16" t="str">
        <x:v>—</x:v>
      </x:c>
      <x:c r="M74" s="16" t="str">
        <x:v>두락·경무·씨앗 양을 직접 묻는 검증 문항은 이번 은행에 없다. 이 장면의 토지 단위를 77심화5의 원문 질문이나 선지에 있다고 쓰지 않는다.</x:v>
      </x:c>
    </x:row>
    <x:row r="75" ht="53.25" customHeight="1">
      <x:c r="A75" s="10" t="str">
        <x:v>CH08</x:v>
      </x:c>
      <x:c r="B75" s="10" t="str">
        <x:v>THR-C08-S03</x:v>
      </x:c>
      <x:c r="C75" s="13" t="str">
        <x:v>무덤의 이름표</x:v>
      </x:c>
      <x:c r="D75" s="13" t="str">
        <x:v>무령왕릉 지석의 왕·왕비 기록과 남조 양의 영향을 받은 벽돌무덤을 식별한다.</x:v>
      </x:c>
      <x:c r="E75" s="34" t="str">
        <x:v>77회 심화 5번</x:v>
      </x:c>
      <x:c r="F75" s="35" t="n">
        <x:v>3</x:v>
      </x:c>
      <x:c r="G75" s="49" t="str">
        <x:v>직접</x:v>
      </x:c>
      <x:c r="H75" s="13" t="str">
        <x:v>C08-S03
공통 연결 뒤</x:v>
      </x:c>
      <x:c r="I75" s="13" t="str">
        <x:v>자료의 1971년 발굴·왕과 왕비 지석 및 정답선지③</x:v>
      </x:c>
      <x:c r="J75" s="13" t="str">
        <x:v>지석으로 무령왕릉의 주인을 알아보고 남조 양과의 연결을 확인한 뒤, 앞서 본 22담로 파견을 그 왕의 업적으로 고른다.</x:v>
      </x:c>
      <x:c r="K75" s="13" t="str">
        <x:v>1. 65회 심화 3번 · ②
직접 · 정답선지②(무령왕과 왕비 무덤 답사)
→ C08-S03 공통 연결 뒤</x:v>
      </x:c>
      <x:c r="L75" s="13" t="str">
        <x:v>—</x:v>
      </x:c>
      <x:c r="M75" s="13" t="str">
        <x:v>77심화5에 나오는 백가의 난은 자료의 추가 식별 단서로 읽고 대본에서 이미 자세히 배웠다고 주장하지 않는다. 벽돌무덤을 백제의 모든 무덤 양식으로 일반화하지 않는다.</x:v>
      </x:c>
    </x:row>
    <x:row r="76" ht="53.25" customHeight="1">
      <x:c r="A76" s="15" t="str">
        <x:v>CH08</x:v>
      </x:c>
      <x:c r="B76" s="15" t="str">
        <x:v>THR-C08-S04</x:v>
      </x:c>
      <x:c r="C76" s="16" t="str">
        <x:v>웅진의 좁은 길</x:v>
      </x:c>
      <x:c r="D76" s="16" t="str">
        <x:v>성왕이 웅진의 제약을 벗어나 사비로 천도하려는 배경을 이해한다.</x:v>
      </x:c>
      <x:c r="E76" s="32" t="str">
        <x:v>77회 심화 50번</x:v>
      </x:c>
      <x:c r="F76" s="33" t="n">
        <x:v>3</x:v>
      </x:c>
      <x:c r="G76" s="39" t="str">
        <x:v>서사연결</x:v>
      </x:c>
      <x:c r="H76" s="16" t="str">
        <x:v>C08-S05
공통 연결 뒤</x:v>
      </x:c>
      <x:c r="I76" s="16" t="str">
        <x:v>자료(다)의 538년 사비 천도</x:v>
      </x:c>
      <x:c r="J76" s="16" t="str">
        <x:v>아직 새 국호를 붙이기 전의 이동 준비다. 다음 씬에서 사비·남부여를 함께 확인한 뒤 장수왕·문주왕·성왕의 천도를 구별한다.</x:v>
      </x:c>
      <x:c r="K76" s="16" t="str">
        <x:v>—</x:v>
      </x:c>
      <x:c r="L76" s="16" t="str">
        <x:v>—</x:v>
      </x:c>
      <x:c r="M76" s="16" t="str">
        <x:v>성왕의 관산성 전사를 포함한 64심화6은 여기서 미리 공개하지 않는다.</x:v>
      </x:c>
    </x:row>
    <x:row r="77" ht="67.5" customHeight="1">
      <x:c r="A77" s="10" t="str">
        <x:v>CH08</x:v>
      </x:c>
      <x:c r="B77" s="10" t="str">
        <x:v>THR-C08-S05</x:v>
      </x:c>
      <x:c r="C77" s="13" t="str">
        <x:v>남부여의 현판</x:v>
      </x:c>
      <x:c r="D77" s="13" t="str">
        <x:v>538년 성왕의 사비 천도·남부여 국호와 5부·5방·22부를 구별한다.</x:v>
      </x:c>
      <x:c r="E77" s="34" t="str">
        <x:v>77회 심화 50번</x:v>
      </x:c>
      <x:c r="F77" s="35" t="n">
        <x:v>3</x:v>
      </x:c>
      <x:c r="G77" s="49" t="str">
        <x:v>직접</x:v>
      </x:c>
      <x:c r="H77" s="13" t="str">
        <x:v>C08-S05
공통 연결 뒤</x:v>
      </x:c>
      <x:c r="I77" s="13" t="str">
        <x:v>자료(다)와 정답선지③((다)—국호 남부여)</x:v>
      </x:c>
      <x:c r="J77" s="13" t="str">
        <x:v>427년 평양, 475년 웅진, 538년 사비를 모두 본 상태다. 남부여 현판을 거는 공통 대사 뒤에 사비 천도한 왕과 국호를 연결한다.</x:v>
      </x:c>
      <x:c r="K77" s="13" t="str">
        <x:v>1. 64회 심화 6번 · ②
직접 · 정답선지②(웅진에서 사비로 천도)·자료의 국호 및 22부
→ C08-S10 공통 연결 뒤</x:v>
      </x:c>
      <x:c r="L77" s="13" t="str">
        <x:v>—</x:v>
      </x:c>
      <x:c r="M77" s="13" t="str">
        <x:v>77심화50 원문에는 고려·조선의 천도 자료도 있지만 이 연결의 학습 대상은 자료(다)의 성왕이다. 22담로와 중앙 관청 22부를 같은 제도로 설명하지 않는다.</x:v>
      </x:c>
    </x:row>
    <x:row r="78" ht="53.25" customHeight="1">
      <x:c r="A78" s="15" t="str">
        <x:v>CH08</x:v>
      </x:c>
      <x:c r="B78" s="15" t="str">
        <x:v>THR-C08-S06</x:v>
      </x:c>
      <x:c r="C78" s="16" t="str">
        <x:v>옛 강으로의 귀환</x:v>
      </x:c>
      <x:c r="D78" s="16" t="str">
        <x:v>551년 백제와 신라가 협력하여 한강 유역을 되찾은 상황을 익힌다.</x:v>
      </x:c>
      <x:c r="E78" s="32" t="str">
        <x:v>64회 심화 6번</x:v>
      </x:c>
      <x:c r="F78" s="33" t="n">
        <x:v>2</x:v>
      </x:c>
      <x:c r="G78" s="49" t="str">
        <x:v>직접</x:v>
      </x:c>
      <x:c r="H78" s="16" t="str">
        <x:v>C08-S10
공통 연결 뒤</x:v>
      </x:c>
      <x:c r="I78" s="16" t="str">
        <x:v>자료의 신라와 연합한 한강 유역 회복</x:v>
      </x:c>
      <x:c r="J78" s="16" t="str">
        <x:v>원문 대화에 제시된 성왕의 한강 회복과 직접 연결한다. 자료에 함께 나오는 배신과 관산성 전사는 아직 보지 않았으므로 CH08S10 뒤에 출제한다.</x:v>
      </x:c>
      <x:c r="K78" s="16" t="str">
        <x:v>—</x:v>
      </x:c>
      <x:c r="L78" s="16" t="str">
        <x:v>—</x:v>
      </x:c>
      <x:c r="M78" s="16" t="str">
        <x:v>이 씬의 공동 회복을 553년 신라 단독 장악과 섞지 않는다.</x:v>
      </x:c>
    </x:row>
    <x:row r="79" ht="53.25" customHeight="1">
      <x:c r="A79" s="10" t="str">
        <x:v>CH08</x:v>
      </x:c>
      <x:c r="B79" s="10" t="str">
        <x:v>THR-C08-S07</x:v>
      </x:c>
      <x:c r="C79" s="13" t="str">
        <x:v>강을 빼앗긴 지도</x:v>
      </x:c>
      <x:c r="D79" s="13" t="str">
        <x:v>553년 신라의 한강 유역 장악과 백제·신라 관계의 파탄을 이해한다.</x:v>
      </x:c>
      <x:c r="E79" s="34" t="str">
        <x:v>64회 심화 6번</x:v>
      </x:c>
      <x:c r="F79" s="35" t="n">
        <x:v>2</x:v>
      </x:c>
      <x:c r="G79" s="49" t="str">
        <x:v>직접</x:v>
      </x:c>
      <x:c r="H79" s="13" t="str">
        <x:v>C08-S10
공통 연결 뒤</x:v>
      </x:c>
      <x:c r="I79" s="13" t="str">
        <x:v>자료의 신라에 한강 유역을 다시 빼앗긴 상황</x:v>
      </x:c>
      <x:c r="J79" s="13" t="str">
        <x:v>성왕의 외교·영토 변화가 원문 중간 대화에 그대로 대응한다. 관산성으로 이어지는 남은 이야기를 본 뒤 왕의 사비 천도를 고르는 문제로 정리한다.</x:v>
      </x:c>
      <x:c r="K79" s="13" t="str">
        <x:v>—</x:v>
      </x:c>
      <x:c r="L79" s="13" t="str">
        <x:v>—</x:v>
      </x:c>
      <x:c r="M79" s="13" t="str">
        <x:v>553년의 지도 변화 장면에 554년 왕의 죽음을 미리 공개하지 않는다.</x:v>
      </x:c>
    </x:row>
    <x:row r="80" ht="53.25" customHeight="1">
      <x:c r="A80" s="15" t="str">
        <x:v>CH08</x:v>
      </x:c>
      <x:c r="B80" s="15" t="str">
        <x:v>THR-C08-S08</x:v>
      </x:c>
      <x:c r="C80" s="16" t="str">
        <x:v>관산성으로 가는 편지</x:v>
      </x:c>
      <x:c r="D80" s="16" t="str">
        <x:v>554년 관산성 전투를 앞둔 백제 사람들의 동원과 불안을 따라간다.</x:v>
      </x:c>
      <x:c r="E80" s="32" t="str">
        <x:v>64회 심화 6번</x:v>
      </x:c>
      <x:c r="F80" s="33" t="n">
        <x:v>2</x:v>
      </x:c>
      <x:c r="G80" s="39" t="str">
        <x:v>서사연결</x:v>
      </x:c>
      <x:c r="H80" s="16" t="str">
        <x:v>C08-S10
공통 연결 뒤</x:v>
      </x:c>
      <x:c r="I80" s="16" t="str">
        <x:v>자료의 관산성 전투에 앞선 출정</x:v>
      </x:c>
      <x:c r="J80" s="16" t="str">
        <x:v>성왕의 전쟁과 한결의 출전을 지켜보는 감정 씬이다. 원문이 전사 결과를 밝히므로 편지를 전하는 장면에서는 학습 연결만 저장하고 CH08S10 뒤에 푼다.</x:v>
      </x:c>
      <x:c r="K80" s="16" t="str">
        <x:v>—</x:v>
      </x:c>
      <x:c r="L80" s="16" t="str">
        <x:v>—</x:v>
      </x:c>
      <x:c r="M80" s="16" t="str">
        <x:v>편지에 대한 서아의 대사를 고르는 선택지는 역사 결과를 바꾸는 선택지가 아니다.</x:v>
      </x:c>
    </x:row>
    <x:row r="81" ht="53.25" customHeight="1">
      <x:c r="A81" s="10" t="str">
        <x:v>CH08</x:v>
      </x:c>
      <x:c r="B81" s="10" t="str">
        <x:v>THR-C08-S09</x:v>
      </x:c>
      <x:c r="C81" s="13" t="str">
        <x:v>돌아오지 못한 왕</x:v>
      </x:c>
      <x:c r="D81" s="13" t="str">
        <x:v>554년 성왕의 관산성 전사와 551→553→554년의 관계 변화를 확인한다.</x:v>
      </x:c>
      <x:c r="E81" s="34" t="str">
        <x:v>64회 심화 6번</x:v>
      </x:c>
      <x:c r="F81" s="35" t="n">
        <x:v>2</x:v>
      </x:c>
      <x:c r="G81" s="49" t="str">
        <x:v>직접</x:v>
      </x:c>
      <x:c r="H81" s="13" t="str">
        <x:v>C08-S10
공통 연결 뒤</x:v>
      </x:c>
      <x:c r="I81" s="13" t="str">
        <x:v>자료의 관산성 전사·정답선지②(사비 천도)</x:v>
      </x:c>
      <x:c r="J81" s="13" t="str">
        <x:v>왕의 최후까지 실제로 본 뒤에는 원문 전체를 읽을 전제가 갖춰진다. 죽음을 전하는 공통 대사 직후의 감정을 유지하고 다음 씬의 정리 뒤에 출제한다.</x:v>
      </x:c>
      <x:c r="K81" s="13" t="str">
        <x:v>1. 76회 심화 3번 · ③
직접 · 자료(다): 명농의 관산성 공격과 죽음
→ C08-S10 공통 연결 뒤</x:v>
      </x:c>
      <x:c r="L81" s="13" t="str">
        <x:v>—</x:v>
      </x:c>
      <x:c r="M81" s="13" t="str">
        <x:v>74심화4의 정답은 아직 본편에서 배우지 않은 대가야 병합이므로 이 자리의 즉시 출제 문제로 사용하지 않는다.</x:v>
      </x:c>
    </x:row>
    <x:row r="82" ht="53.25" customHeight="1">
      <x:c r="A82" s="15" t="str">
        <x:v>CH08</x:v>
      </x:c>
      <x:c r="B82" s="15" t="str">
        <x:v>THR-C08-S10</x:v>
      </x:c>
      <x:c r="C82" s="16" t="str">
        <x:v>바뀐 국경의 사람</x:v>
      </x:c>
      <x:c r="D82" s="16" t="str">
        <x:v>관산성 전투 뒤 바뀐 국경과 백제·신라 사람들의 지속되는 거래를 돌아본다.</x:v>
      </x:c>
      <x:c r="E82" s="32" t="str">
        <x:v>64회 심화 6번</x:v>
      </x:c>
      <x:c r="F82" s="33" t="n">
        <x:v>2</x:v>
      </x:c>
      <x:c r="G82" s="39" t="str">
        <x:v>관련복습</x:v>
      </x:c>
      <x:c r="H82" s="16" t="str">
        <x:v>C08-S10
공통 연결 뒤</x:v>
      </x:c>
      <x:c r="I82" s="16" t="str">
        <x:v>자료의 성왕대 한강·관산성 및 정답선지②</x:v>
      </x:c>
      <x:c r="J82" s="16" t="str">
        <x:v>전투 결과를 본 뒤 일상으로 돌아오는 정리 씬이다. 이 씬에서 새로운 왕 업적을 배운다고 주장하지 않고, 앞선 성왕 서사를 한 번 복습한다.</x:v>
      </x:c>
      <x:c r="K82" s="16" t="str">
        <x:v>1. 76회 심화 3번 · ③
관련복습 · 자료(나)→(가)→(다)의 세 전쟁 순서
→ C08-S10 공통 연결 뒤</x:v>
      </x:c>
      <x:c r="L82" s="16" t="str">
        <x:v>—</x:v>
      </x:c>
      <x:c r="M82" s="16" t="str">
        <x:v>국경 주민들의 대화가 끝난 뒤 기록책에 문제 두 개를 순서대로 둔다. 같은 문제를 앞선 연결 씬마다 반복 삽입하지 않는다.</x:v>
      </x:c>
    </x:row>
    <x:row r="83" ht="53.25" customHeight="1">
      <x:c r="A83" s="10" t="str">
        <x:v>CH08</x:v>
      </x:c>
      <x:c r="B83" s="10" t="str">
        <x:v>THR-C08-S11</x:v>
      </x:c>
      <x:c r="C83" s="13" t="str">
        <x:v>기록을 건너는 불빛</x:v>
      </x:c>
      <x:c r="D83" s="13" t="str">
        <x:v>554년의 기록에서 무왕대 미륵사 기록으로 이동하며 왕과 세대의 변화를 확인한다.</x:v>
      </x:c>
      <x:c r="E83" s="34" t="str">
        <x:v>66회 심화 5번</x:v>
      </x:c>
      <x:c r="F83" s="35" t="n">
        <x:v>1</x:v>
      </x:c>
      <x:c r="G83" s="40" t="str">
        <x:v>서사연결</x:v>
      </x:c>
      <x:c r="H83" s="13" t="str">
        <x:v>C09-S01
공통 연결 뒤</x:v>
      </x:c>
      <x:c r="I83" s="13" t="str">
        <x:v>자료의 무왕·미륵사·사리봉영기</x:v>
      </x:c>
      <x:c r="J83" s="13" t="str">
        <x:v>시간 이동 도입에서는 무왕의 건축이나 전승을 아직 모두 배우지 않았다. CH09S01에서 미륵사와 봉영기를 확인한 뒤 동시대 사건 문항을 푼다.</x:v>
      </x:c>
      <x:c r="K83" s="13" t="str">
        <x:v>—</x:v>
      </x:c>
      <x:c r="L83" s="13" t="str">
        <x:v>기록책: 무왕의 재위는 600~641년이야. 고구려 장에서 보았던 사건을 같은 연도 줄에 놓고 비교해 보자.</x:v>
      </x:c>
      <x:c r="M83" s="13" t="str">
        <x:v>성왕 때의 현장 인물이 무왕대 결과를 예언하지 않는다. 재위 연도 단서는 시간 이동 뒤 기록책이 제공한다.</x:v>
      </x:c>
    </x:row>
    <x:row r="84" ht="53.25" customHeight="1">
      <x:c r="A84" s="57" t="str">
        <x:v>CH09</x:v>
      </x:c>
      <x:c r="B84" s="52" t="str">
        <x:v>THR-C09-S01</x:v>
      </x:c>
      <x:c r="C84" s="53" t="str">
        <x:v>돌탑의 빈 자리</x:v>
      </x:c>
      <x:c r="D84" s="53" t="str">
        <x:v>무왕대 미륵사와 사리봉영기를 통해 서동·선화 전승과 출토 기록을 구별한다.</x:v>
      </x:c>
      <x:c r="E84" s="54" t="str">
        <x:v>66회 심화 5번</x:v>
      </x:c>
      <x:c r="F84" s="55" t="n">
        <x:v>1</x:v>
      </x:c>
      <x:c r="G84" s="51" t="str">
        <x:v>직접</x:v>
      </x:c>
      <x:c r="H84" s="53" t="str">
        <x:v>C09-S01
공통 연결 뒤</x:v>
      </x:c>
      <x:c r="I84" s="53" t="str">
        <x:v>자료의 선화공주 전승·사택적덕 딸 기록 및 정답선지①(살수 대첩)</x:v>
      </x:c>
      <x:c r="J84" s="53" t="str">
        <x:v>이 씬에서 원문의 왕과 기록을 식별할 수 있다. CH05에서 배운 612년 살수 대첩을 무왕 재위표와 비교하여 백제와 고구려의 동시대 사건을 연결한다.</x:v>
      </x:c>
      <x:c r="K84" s="53" t="str">
        <x:v>—</x:v>
      </x:c>
      <x:c r="L84" s="53" t="str">
        <x:v>기록책: 무왕의 재위는 600~641년이야. 고구려 장에서 보았던 사건을 같은 연도 줄에 놓고 비교해 보자.</x:v>
      </x:c>
      <x:c r="M84" s="53" t="str">
        <x:v>재위표는 새 사건의 결말이나 정답을 말하지 않는 연대 단서다. 원문은 미륵사 자체가 아니라 무왕 재위 중의 다른 나라 사건을 정답으로 묻는다.</x:v>
      </x:c>
    </x:row>
    <x:row r="85" ht="53.25" customHeight="1">
      <x:c r="A85" s="10" t="str">
        <x:v>CH09</x:v>
      </x:c>
      <x:c r="B85" s="10" t="str">
        <x:v>THR-C09-S02</x:v>
      </x:c>
      <x:c r="C85" s="13" t="str">
        <x:v>향로의 작은 산</x:v>
      </x:c>
      <x:c r="D85" s="13" t="str">
        <x:v>백제 금동대향로와 산수무늬벽돌의 모습, 불교·신선 세계 표현을 비교한다.</x:v>
      </x:c>
      <x:c r="E85" s="34" t="str">
        <x:v>76회 심화 4번</x:v>
      </x:c>
      <x:c r="F85" s="35" t="n">
        <x:v>1</x:v>
      </x:c>
      <x:c r="G85" s="49" t="str">
        <x:v>직접</x:v>
      </x:c>
      <x:c r="H85" s="13" t="str">
        <x:v>C09-S02
공통 연결 뒤</x:v>
      </x:c>
      <x:c r="I85" s="13" t="str">
        <x:v>자료의 금동대향로·정답선지①(산수무늬벽돌 사진)</x:v>
      </x:c>
      <x:c r="J85" s="13" t="str">
        <x:v>연꽃·산봉우리·새가 있는 향로와 산수무늬벽돌을 같은 씬에서 직접 본다. 공통 대사 뒤에 그림 선지를 그대로 제시해 백제 유물의 시각적 특징을 연결한다.</x:v>
      </x:c>
      <x:c r="K85" s="13" t="str">
        <x:v>—</x:v>
      </x:c>
      <x:c r="L85" s="13" t="str">
        <x:v>—</x:v>
      </x:c>
      <x:c r="M85" s="13" t="str">
        <x:v>그림 선지의 유물 이름을 원문에 없는 문자 선지처럼 바꾸지 않는다. 도교를 근거로 아직 대사에 없는 연개소문의 도사 초청까지 배웠다고 확장하지 않는다.</x:v>
      </x:c>
    </x:row>
    <x:row r="86" ht="53.25" customHeight="1">
      <x:c r="A86" s="15" t="str">
        <x:v>CH09</x:v>
      </x:c>
      <x:c r="B86" s="15" t="str">
        <x:v>THR-C09-S03</x:v>
      </x:c>
      <x:c r="C86" s="16" t="str">
        <x:v>세 수도의 무덤</x:v>
      </x:c>
      <x:c r="D86" s="16" t="str">
        <x:v>한성·웅진·사비의 무덤과 기록을 지도 위에서 비교하며 백제의 수도·제도·문화를 정리한다.</x:v>
      </x:c>
      <x:c r="E86" s="32" t="str">
        <x:v>68회 심화 4번</x:v>
      </x:c>
      <x:c r="F86" s="33" t="n">
        <x:v>3</x:v>
      </x:c>
      <x:c r="G86" s="49" t="str">
        <x:v>직접</x:v>
      </x:c>
      <x:c r="H86" s="16" t="str">
        <x:v>C09-S03
공통 연결 뒤</x:v>
      </x:c>
      <x:c r="I86" s="16" t="str">
        <x:v>자료의 백제 왕도 유적·정답선지③의 잘못된 성왕 전사 장소</x:v>
      </x:c>
      <x:c r="J86" s="16" t="str">
        <x:v>웅진 무령왕릉의 남조 영향과 사비 능산리 무덤을 비교하고, CH08에서 성왕이 전사한 관산성을 배웠다. 부소산성을 성왕 전사 장소라고 한 설명이 잘못임을 판단한다.</x:v>
      </x:c>
      <x:c r="K86" s="16" t="str">
        <x:v>1. 78회 심화 6번 · ④
관련복습 · 자료의 마지막 수도 부여·정답선지④(6좌평·달솔)
→ C09-S03 공통 연결 뒤</x:v>
      </x:c>
      <x:c r="L86" s="16" t="str">
        <x:v>기록책: 지금 지명으로 표시한 지도에서 웅진은 공주, 사비는 부여와 이어져 있어. 세 수도의 위치와 예전에 보았던 관등표를 함께 펼쳐 보자.</x:v>
      </x:c>
      <x:c r="M86" s="16" t="str">
        <x:v>68심화4는 옳지 않은 설명을 고르는 부정형 문항이다. 78심화6의 목간은 무덤에서 나온 유물로 바꾸지 않으며, 여기서는 수도·국가 식별과 앞선 제도 학습을 묶는다.</x:v>
      </x:c>
    </x:row>
    <x:row r="87" ht="53.25" customHeight="1">
      <x:c r="A87" s="10" t="str">
        <x:v>CH09</x:v>
      </x:c>
      <x:c r="B87" s="10" t="str">
        <x:v>THR-C09-S04</x:v>
      </x:c>
      <x:c r="C87" s="13" t="str">
        <x:v>바다 건너 배움</x:v>
      </x:c>
      <x:c r="D87" s="13" t="str">
        <x:v>관륵의 역법·천문 전수와 백제의 왜 교류, 서산 마애삼존상의 특징을 이해한다.</x:v>
      </x:c>
      <x:c r="E87" s="34" t="str">
        <x:v>63회 기본 5번</x:v>
      </x:c>
      <x:c r="F87" s="35" t="n">
        <x:v>1</x:v>
      </x:c>
      <x:c r="G87" s="40" t="str">
        <x:v>관련복습</x:v>
      </x:c>
      <x:c r="H87" s="13" t="str">
        <x:v>C09-S04
공통 연결 뒤</x:v>
      </x:c>
      <x:c r="I87" s="13" t="str">
        <x:v>자료의 백제 대외 교류라는 주제·정답선지①(칠지도)</x:v>
      </x:c>
      <x:c r="J87" s="13" t="str">
        <x:v>책과 기술이 바다를 건너는 장면에서 앞서 배운 백제·왜 교류의 물적 증거를 복습한다. CH06S06에서 한 번 풀었다면 사진을 다시 식별하는 복습으로 표시한다.</x:v>
      </x:c>
      <x:c r="K87" s="13" t="str">
        <x:v>—</x:v>
      </x:c>
      <x:c r="L87" s="13" t="str">
        <x:v>—</x:v>
      </x:c>
      <x:c r="M87" s="13" t="str">
        <x:v>관륵의 역법·천문 전수나 서산 마애삼존상을 직접 정답으로 묻는 문항은 이번 선정 은행에 없다. 칠지도를 관륵이 전한 물건으로 설명하지 않는다.</x:v>
      </x:c>
    </x:row>
    <x:row r="88" ht="53.25" customHeight="1">
      <x:c r="A88" s="15" t="str">
        <x:v>CH09</x:v>
      </x:c>
      <x:c r="B88" s="15" t="str">
        <x:v>THR-C09-S05</x:v>
      </x:c>
      <x:c r="C88" s="16" t="str">
        <x:v>대야성의 그림자</x:v>
      </x:c>
      <x:c r="D88" s="16" t="str">
        <x:v>642년 의자왕대 윤충의 대야성 함락과 신라의 위기를 확인한다.</x:v>
      </x:c>
      <x:c r="E88" s="32" t="str">
        <x:v>78회 심화 7번</x:v>
      </x:c>
      <x:c r="F88" s="33" t="n">
        <x:v>4</x:v>
      </x:c>
      <x:c r="G88" s="49" t="str">
        <x:v>직접</x:v>
      </x:c>
      <x:c r="H88" s="16" t="str">
        <x:v>C09-S07
공통 연결 뒤</x:v>
      </x:c>
      <x:c r="I88" s="16" t="str">
        <x:v>자료의 대야성 함락과 김춘추의 고구려 구원 요청</x:v>
      </x:c>
      <x:c r="J88" s="16" t="str">
        <x:v>대야성 함락이 원문의 사건 출발점이다. 정답은 뒤의 황산벌 항전이므로 CH09S06까지 본 뒤, 사비 장면의 공통 대사가 끝난 CH09S07에 함께 출제한다.</x:v>
      </x:c>
      <x:c r="K88" s="16" t="str">
        <x:v>—</x:v>
      </x:c>
      <x:c r="L88" s="16" t="str">
        <x:v>—</x:v>
      </x:c>
      <x:c r="M88" s="16" t="str">
        <x:v>원문에 나온 김춘추의 요청은 자료가 제공하는 동시대 맥락으로 읽는다. 그 외교를 이 씬에서 서아가 직접 주선했다고 만들지 않는다.</x:v>
      </x:c>
    </x:row>
    <x:row r="89" ht="53.25" customHeight="1">
      <x:c r="A89" s="10" t="str">
        <x:v>CH09</x:v>
      </x:c>
      <x:c r="B89" s="10" t="str">
        <x:v>THR-C09-S06</x:v>
      </x:c>
      <x:c r="C89" s="13" t="str">
        <x:v>황산벌 후방의 물</x:v>
      </x:c>
      <x:c r="D89" s="13" t="str">
        <x:v>660년 황산벌에서 계백의 백제군이 김유신의 신라군에 맞선 전투와 후방의 피해를 기억한다.</x:v>
      </x:c>
      <x:c r="E89" s="34" t="str">
        <x:v>78회 심화 7번</x:v>
      </x:c>
      <x:c r="F89" s="35" t="n">
        <x:v>4</x:v>
      </x:c>
      <x:c r="G89" s="49" t="str">
        <x:v>직접</x:v>
      </x:c>
      <x:c r="H89" s="13" t="str">
        <x:v>C09-S07
공통 연결 뒤</x:v>
      </x:c>
      <x:c r="I89" s="13" t="str">
        <x:v>정답선지④(계백이 이끄는 군대의 황산벌 항전)</x:v>
      </x:c>
      <x:c r="J89" s="13" t="str">
        <x:v>대야성 함락이 먼저, 황산벌 항전이 나중이라는 순서를 실제 장면으로 배웠다. 부상병을 돌보는 흐름을 유지하고 다음 사비 장면 뒤에 문항을 푼다.</x:v>
      </x:c>
      <x:c r="K89" s="13" t="str">
        <x:v>—</x:v>
      </x:c>
      <x:c r="L89" s="13" t="str">
        <x:v>—</x:v>
      </x:c>
      <x:c r="M89" s="13" t="str">
        <x:v>상처와 생존에 대한 대사 선택을 맞고 틀린 태도로 채점하지 않는다.</x:v>
      </x:c>
    </x:row>
    <x:row r="90" ht="53.25" customHeight="1">
      <x:c r="A90" s="15" t="str">
        <x:v>CH09</x:v>
      </x:c>
      <x:c r="B90" s="15" t="str">
        <x:v>THR-C09-S07</x:v>
      </x:c>
      <x:c r="C90" s="16" t="str">
        <x:v>사비의 닫힌 문</x:v>
      </x:c>
      <x:c r="D90" s="16" t="str">
        <x:v>660년 의자왕 항복·백제 멸망과 정림사지 오층석탑의 소정방 명문을 연결한다.</x:v>
      </x:c>
      <x:c r="E90" s="32" t="str">
        <x:v>75회 기본 7번</x:v>
      </x:c>
      <x:c r="F90" s="33" t="n">
        <x:v>1</x:v>
      </x:c>
      <x:c r="G90" s="49" t="str">
        <x:v>직접</x:v>
      </x:c>
      <x:c r="H90" s="16" t="str">
        <x:v>C09-S07
공통 연결 뒤</x:v>
      </x:c>
      <x:c r="I90" s="16" t="str">
        <x:v>자료의 정림사지 오층석탑·소정방 평백제 명문과 정답선지①</x:v>
      </x:c>
      <x:c r="J90" s="16" t="str">
        <x:v>백제가 먼저 세운 탑에 당의 정복 기록이 뒤에 새겨졌음을 실제 대사로 배운다. 공통 대사 뒤 명문을 나당 연합군의 활동과 연결한다.</x:v>
      </x:c>
      <x:c r="K90" s="16" t="str">
        <x:v>1. 78회 심화 7번 · ④
관련복습 · 자료의 대야성 함락 이후·정답선지④(황산벌 항전)
→ C09-S07 공통 연결 뒤</x:v>
      </x:c>
      <x:c r="L90" s="16" t="str">
        <x:v>—</x:v>
      </x:c>
      <x:c r="M90" s="16" t="str">
        <x:v>소정방이 정림사지 오층석탑 자체를 새로 건립한 것으로 설명하지 않는다. 나당 연합의 평양성 점령을 정답으로 하는 문항은 고구려 멸망을 다시 다루는 CH13까지 미뤄도 된다.</x:v>
      </x:c>
    </x:row>
    <x:row r="91" ht="81.75" customHeight="1">
      <x:c r="A91" s="10" t="str">
        <x:v>CH09</x:v>
      </x:c>
      <x:c r="B91" s="10" t="str">
        <x:v>THR-C09-S08</x:v>
      </x:c>
      <x:c r="C91" s="13" t="str">
        <x:v>다시 세운 깃발</x:v>
      </x:c>
      <x:c r="D91" s="13" t="str">
        <x:v>복신·도침·부여풍·흑치상지의 백제 부흥 운동과 내부 갈등을 익힌다.</x:v>
      </x:c>
      <x:c r="E91" s="34" t="str">
        <x:v>77회 심화 6번</x:v>
      </x:c>
      <x:c r="F91" s="35" t="n">
        <x:v>2</x:v>
      </x:c>
      <x:c r="G91" s="49" t="str">
        <x:v>직접</x:v>
      </x:c>
      <x:c r="H91" s="13" t="str">
        <x:v>C13-S12
공통 연결 뒤</x:v>
      </x:c>
      <x:c r="I91" s="13" t="str">
        <x:v>정답선지②(복신·도침의 부여풍 추대)</x:v>
      </x:c>
      <x:c r="J91" s="13" t="str">
        <x:v>복신과 도침이 부여풍을 내세운 백제 부흥 운동이 원문의 정답이다. 다만 원문 자료의 시간 끝점이 기벌포이므로 그 전투를 배운 CH13S11에서 전체 문항을 푼다. 기벌포까지 본 다음 CH13S12의 통일 정리에서 같은 원문을 한 번으로 합쳐 푼다.</x:v>
      </x:c>
      <x:c r="K91" s="13" t="str">
        <x:v>—</x:v>
      </x:c>
      <x:c r="L91" s="13" t="str">
        <x:v>—</x:v>
      </x:c>
      <x:c r="M91" s="13" t="str">
        <x:v>내부 갈등 장면에 676년 기벌포의 결말을 끼워 넣지 않는다. 이 씬은 직접 학습 연결, 실제 출제는 후행이다.</x:v>
      </x:c>
    </x:row>
    <x:row r="92" ht="67.5" customHeight="1">
      <x:c r="A92" s="15" t="str">
        <x:v>CH09</x:v>
      </x:c>
      <x:c r="B92" s="15" t="str">
        <x:v>THR-C09-S09</x:v>
      </x:c>
      <x:c r="C92" s="16" t="str">
        <x:v>백강의 갈라진 배</x:v>
      </x:c>
      <x:c r="D92" s="16" t="str">
        <x:v>663년 백강에서 백제 부흥군·왜 지원군이 패배하고 사람들이 흩어진 일을 이해한다.</x:v>
      </x:c>
      <x:c r="E92" s="32" t="str">
        <x:v>65회 심화 6번</x:v>
      </x:c>
      <x:c r="F92" s="33" t="n">
        <x:v>5</x:v>
      </x:c>
      <x:c r="G92" s="49" t="str">
        <x:v>직접</x:v>
      </x:c>
      <x:c r="H92" s="16" t="str">
        <x:v>C13-S10
공통 연결 뒤</x:v>
      </x:c>
      <x:c r="I92" s="16" t="str">
        <x:v>자료(가)의 백강 전투</x:v>
      </x:c>
      <x:c r="J92" s="16" t="str">
        <x:v>백강 전투가 원문 시간 구간의 출발점이다. 이미 고구려 장에서 배운 검모잠·안승의 부흥 운동과 연결하되, 나중에 매소성 전투까지 배운 CH13S10에서 사이 시기 문제를 푼다.</x:v>
      </x:c>
      <x:c r="K92" s="16" t="str">
        <x:v>—</x:v>
      </x:c>
      <x:c r="L92" s="16" t="str">
        <x:v>—</x:v>
      </x:c>
      <x:c r="M92" s="16" t="str">
        <x:v>정답은 백제 부흥군 자체가 아니라 고구려 부흥 운동이다. 두 부흥 운동을 합치거나 왜군이 매소성에서 싸웠다고 쓰지 않는다.</x:v>
      </x:c>
    </x:row>
    <x:row r="93" ht="81.75" customHeight="1">
      <x:c r="A93" s="10" t="str">
        <x:v>CH09</x:v>
      </x:c>
      <x:c r="B93" s="10" t="str">
        <x:v>THR-C09-S10</x:v>
      </x:c>
      <x:c r="C93" s="13" t="str">
        <x:v>남은 말의 행선지</x:v>
      </x:c>
      <x:c r="D93" s="13" t="str">
        <x:v>백제 멸망과 부흥 운동 뒤에도 이어진 언어·기술·가족의 기억을 정리한다.</x:v>
      </x:c>
      <x:c r="E93" s="34" t="str">
        <x:v>77회 심화 6번</x:v>
      </x:c>
      <x:c r="F93" s="35" t="n">
        <x:v>2</x:v>
      </x:c>
      <x:c r="G93" s="40" t="str">
        <x:v>서사연결</x:v>
      </x:c>
      <x:c r="H93" s="13" t="str">
        <x:v>C13-S12
공통 연결 뒤</x:v>
      </x:c>
      <x:c r="I93" s="13" t="str">
        <x:v>정답선지②의 백제 부흥 운동을 되돌아보는 마무리</x:v>
      </x:c>
      <x:c r="J93" s="13" t="str">
        <x:v>설의 이야기를 듣고 신라 시대로 이동하는 마무리 씬이다. 새로운 사건을 가르치는 퀴즈를 즉시 끼우지 않고, 이미 배운 부흥 운동을 CH13S11의 통합 연대 문제로 회수한다. 기벌포까지 본 다음 CH13S12의 통일 정리에서 같은 원문을 한 번으로 합쳐 푼다.</x:v>
      </x:c>
      <x:c r="K93" s="13" t="str">
        <x:v>—</x:v>
      </x:c>
      <x:c r="L93" s="13" t="str">
        <x:v>—</x:v>
      </x:c>
      <x:c r="M93" s="13" t="str">
        <x:v>원문에는 인물 설의 이주나 기술 전승 이야기가 없다. 역사 사건의 기억을 연결하는 서사 씬으로 명시한다.</x:v>
      </x:c>
    </x:row>
    <x:row r="94" ht="53.25" customHeight="1">
      <x:c r="A94" s="57" t="str">
        <x:v>CH10</x:v>
      </x:c>
      <x:c r="B94" s="52" t="str">
        <x:v>THR-C10-S01</x:v>
      </x:c>
      <x:c r="C94" s="53" t="str">
        <x:v>왕의 이름을 부르다</x:v>
      </x:c>
      <x:c r="D94" s="53" t="str">
        <x:v>내물마립간과 김씨 왕실의 성장, 박혁거세와 박·석·김 왕위 계승을 익힌다.</x:v>
      </x:c>
      <x:c r="E94" s="54" t="str">
        <x:v>66회 심화 3번</x:v>
      </x:c>
      <x:c r="F94" s="55" t="n">
        <x:v>3</x:v>
      </x:c>
      <x:c r="G94" s="56" t="str">
        <x:v>서사연결</x:v>
      </x:c>
      <x:c r="H94" s="53" t="str">
        <x:v>C10-S03
공통 연결 뒤</x:v>
      </x:c>
      <x:c r="I94" s="53" t="str">
        <x:v>자료의 신라 왕릉 문화·정답선지③의 금관으로 이어지는 왕실 도입</x:v>
      </x:c>
      <x:c r="J94" s="53" t="str">
        <x:v>왕실의 호칭과 성씨가 바뀌는 도입은 다음 금관 제작·무덤 노동 씬으로 이어진다. 금관과 돌무지덧널무덤을 모두 본 CH10S03 뒤에 신라 문화유산을 식별한다.</x:v>
      </x:c>
      <x:c r="K94" s="53" t="str">
        <x:v>—</x:v>
      </x:c>
      <x:c r="L94" s="53" t="str">
        <x:v>—</x:v>
      </x:c>
      <x:c r="M94" s="53" t="str">
        <x:v>내물왕·마립간·김씨 왕위 세습을 직접 묻는 문항은 이번 선정 은행에 없다. 66심화3을 내물왕의 업적 문항이라고 부르지 않는다.</x:v>
      </x:c>
    </x:row>
    <x:row r="95" ht="53.25" customHeight="1">
      <x:c r="A95" s="10" t="str">
        <x:v>CH10</x:v>
      </x:c>
      <x:c r="B95" s="10" t="str">
        <x:v>THR-C10-S02</x:v>
      </x:c>
      <x:c r="C95" s="13" t="str">
        <x:v>금관을 만드는 손</x:v>
      </x:c>
      <x:c r="D95" s="13" t="str">
        <x:v>신라 금관 제작을 통해 왕실·귀족의 장식과 권위를 시각적으로 익힌다.</x:v>
      </x:c>
      <x:c r="E95" s="34" t="str">
        <x:v>66회 심화 3번</x:v>
      </x:c>
      <x:c r="F95" s="35" t="n">
        <x:v>3</x:v>
      </x:c>
      <x:c r="G95" s="49" t="str">
        <x:v>직접</x:v>
      </x:c>
      <x:c r="H95" s="13" t="str">
        <x:v>C10-S03
공통 연결 뒤</x:v>
      </x:c>
      <x:c r="I95" s="13" t="str">
        <x:v>정답선지③(신라 금관 사진)</x:v>
      </x:c>
      <x:c r="J95" s="13" t="str">
        <x:v>금판으로 만든 금관의 형상과 쓰임을 직접 본다. 다음 씬에서 원문 자료의 돌무지덧널무덤까지 익힌 뒤 천마총을 남긴 국가의 금관을 고른다.</x:v>
      </x:c>
      <x:c r="K95" s="13" t="str">
        <x:v>—</x:v>
      </x:c>
      <x:c r="L95" s="13" t="str">
        <x:v>—</x:v>
      </x:c>
      <x:c r="M95" s="13" t="str">
        <x:v>금관을 특정 내물왕 개인의 확정된 소유물로 단정하지 않는다.</x:v>
      </x:c>
    </x:row>
    <x:row r="96" ht="53.25" customHeight="1">
      <x:c r="A96" s="15" t="str">
        <x:v>CH10</x:v>
      </x:c>
      <x:c r="B96" s="15" t="str">
        <x:v>THR-C10-S03</x:v>
      </x:c>
      <x:c r="C96" s="16" t="str">
        <x:v>돌을 덮는 사람들</x:v>
      </x:c>
      <x:c r="D96" s="16" t="str">
        <x:v>신라 돌무지덧널무덤의 나무곽·돌·흙 구조와 조성 노동을 이해한다.</x:v>
      </x:c>
      <x:c r="E96" s="32" t="str">
        <x:v>66회 심화 3번</x:v>
      </x:c>
      <x:c r="F96" s="33" t="n">
        <x:v>3</x:v>
      </x:c>
      <x:c r="G96" s="49" t="str">
        <x:v>직접</x:v>
      </x:c>
      <x:c r="H96" s="16" t="str">
        <x:v>C10-S03
공통 연결 뒤</x:v>
      </x:c>
      <x:c r="I96" s="16" t="str">
        <x:v>자료의 천마총·돌무지덧널무덤과 정답선지③(금관)</x:v>
      </x:c>
      <x:c r="J96" s="16" t="str">
        <x:v>고구려의 돌무지무덤과 다른 나무 덧널 구조를 배웠고 바로 앞 씬에서 금관을 보았다. 공통 대사 뒤 원문 사진을 보며 신라 무덤과 유물을 연결한다.</x:v>
      </x:c>
      <x:c r="K96" s="16" t="str">
        <x:v>—</x:v>
      </x:c>
      <x:c r="L96" s="16" t="str">
        <x:v>—</x:v>
      </x:c>
      <x:c r="M96" s="16" t="str">
        <x:v>원문의 천마총·천마도는 신라 왕릉 문화의 자료로 제시한다. 본편의 가상 노동 현장을 천마총의 실제 조성 현장으로 확정하지 않는다.</x:v>
      </x:c>
    </x:row>
    <x:row r="97" ht="53.25" customHeight="1">
      <x:c r="A97" s="10" t="str">
        <x:v>CH10</x:v>
      </x:c>
      <x:c r="B97" s="10" t="str">
        <x:v>THR-C10-S04</x:v>
      </x:c>
      <x:c r="C97" s="13" t="str">
        <x:v>골품의 문턱</x:v>
      </x:c>
      <x:c r="D97" s="13" t="str">
        <x:v>골품에 따른 관등 상한과 6·5·4두품의 차이를 개인의 경험으로 익힌다.</x:v>
      </x:c>
      <x:c r="E97" s="34" t="str">
        <x:v>73회 기본 6번</x:v>
      </x:c>
      <x:c r="F97" s="35" t="n">
        <x:v>2</x:v>
      </x:c>
      <x:c r="G97" s="49" t="str">
        <x:v>직접</x:v>
      </x:c>
      <x:c r="H97" s="13" t="str">
        <x:v>C10-S05
공통 연결 뒤</x:v>
      </x:c>
      <x:c r="I97" s="13" t="str">
        <x:v>정답선지②(골품제)·자료의 주인과 하인 치장 차이</x:v>
      </x:c>
      <x:c r="J97" s="13" t="str">
        <x:v>태어난 신분이 승진 한계를 정하는 대사와 원문 인물 토기의 신분 차이가 연결된다. 다음 화백 장면까지 본 뒤 신라의 신분 질서를 정리한다.</x:v>
      </x:c>
      <x:c r="K97" s="13" t="str">
        <x:v>—</x:v>
      </x:c>
      <x:c r="L97" s="13" t="str">
        <x:v>—</x:v>
      </x:c>
      <x:c r="M97" s="13" t="str">
        <x:v>정답의 골품제와 자료 속 주인·하인의 신분 차이를 연결하되, 두 인물 토기에 특정 두품 등급이 새겨져 있다고 설명하지 않는다.</x:v>
      </x:c>
    </x:row>
    <x:row r="98" ht="53.25" customHeight="1">
      <x:c r="A98" s="15" t="str">
        <x:v>CH10</x:v>
      </x:c>
      <x:c r="B98" s="15" t="str">
        <x:v>THR-C10-S05</x:v>
      </x:c>
      <x:c r="C98" s="16" t="str">
        <x:v>합의가 늦는 밤</x:v>
      </x:c>
      <x:c r="D98" s="16" t="str">
        <x:v>상대등이 이끄는 화백의 귀족 합의와 회의 밖 주민의 처지를 이해한다.</x:v>
      </x:c>
      <x:c r="E98" s="32" t="str">
        <x:v>73회 기본 6번</x:v>
      </x:c>
      <x:c r="F98" s="33" t="n">
        <x:v>2</x:v>
      </x:c>
      <x:c r="G98" s="39" t="str">
        <x:v>관련복습</x:v>
      </x:c>
      <x:c r="H98" s="16" t="str">
        <x:v>C10-S05
공통 연결 뒤</x:v>
      </x:c>
      <x:c r="I98" s="16" t="str">
        <x:v>정답선지②(신라 골품제와 신분 질서)</x:v>
      </x:c>
      <x:c r="J98" s="16" t="str">
        <x:v>화백의 결정에 참여하는 귀족과 밖에서 기다리는 사람의 차이를 본다. 원문이 화백을 묻는다고 하지 않고 직전 씬의 골품제와 함께 신라 귀족 사회를 복습한다.</x:v>
      </x:c>
      <x:c r="K98" s="16" t="str">
        <x:v>—</x:v>
      </x:c>
      <x:c r="L98" s="16" t="str">
        <x:v>—</x:v>
      </x:c>
      <x:c r="M98" s="16" t="str">
        <x:v>화백회의·상대등을 직접 정답으로 묻는 검증 문항은 이번 선정 은행에 없다. 화백의 합의를 백성 전체의 투표라고 설명하지 않는다.</x:v>
      </x:c>
    </x:row>
    <x:row r="99" ht="53.25" customHeight="1">
      <x:c r="A99" s="10" t="str">
        <x:v>CH10</x:v>
      </x:c>
      <x:c r="B99" s="10" t="str">
        <x:v>THR-C10-S06</x:v>
      </x:c>
      <x:c r="C99" s="13" t="str">
        <x:v>구원군이 남긴 물건</x:v>
      </x:c>
      <x:c r="D99" s="13" t="str">
        <x:v>400년 광개토대왕의 신라 구원과 고구려·신라 관계를 남은 유물로 확인한다.</x:v>
      </x:c>
      <x:c r="E99" s="34" t="str">
        <x:v>67회 기본 3번</x:v>
      </x:c>
      <x:c r="F99" s="35" t="n">
        <x:v>4</x:v>
      </x:c>
      <x:c r="G99" s="49" t="str">
        <x:v>직접</x:v>
      </x:c>
      <x:c r="H99" s="13" t="str">
        <x:v>C10-S06
공통 연결 뒤</x:v>
      </x:c>
      <x:c r="I99" s="13" t="str">
        <x:v>자료의 광개토대왕 정복 활동·정답선지④(신라에 침입한 왜 격퇴)</x:v>
      </x:c>
      <x:c r="J99" s="13" t="str">
        <x:v>고구려 장에서 배운 광개토대왕을 신라 쪽에서 다시 만나는 씬이다. 왜의 침입에 맞선 구원이라는 정답 사건을 공통 대사 뒤 바로 확인한다.</x:v>
      </x:c>
      <x:c r="K99" s="13" t="str">
        <x:v>1. 66회 심화 4번 · ④
관련복습 · 자료의 신라 구원·정답선지④(영락 연호)
→ C10-S06 공통 연결 뒤</x:v>
      </x:c>
      <x:c r="L99" s="13" t="str">
        <x:v>—</x:v>
      </x:c>
      <x:c r="M99" s="13" t="str">
        <x:v>호우명 그릇을 400년 현장에서 막 제작·수여된 물건으로 단정하지 않는다. 유물 기록을 통해 관계를 읽는 기존 연출을 유지한다.</x:v>
      </x:c>
    </x:row>
    <x:row r="100" ht="53.25" customHeight="1">
      <x:c r="A100" s="15" t="str">
        <x:v>CH10</x:v>
      </x:c>
      <x:c r="B100" s="15" t="str">
        <x:v>THR-C10-S07</x:v>
      </x:c>
      <x:c r="C100" s="16" t="str">
        <x:v>백제에서 온 손</x:v>
      </x:c>
      <x:c r="D100" s="16" t="str">
        <x:v>433년 눌지왕대 백제·신라가 고구려를 견제하며 동맹을 맺은 사실을 익힌다.</x:v>
      </x:c>
      <x:c r="E100" s="32" t="str">
        <x:v>70회 심화 3번</x:v>
      </x:c>
      <x:c r="F100" s="33" t="n">
        <x:v>2</x:v>
      </x:c>
      <x:c r="G100" s="39" t="str">
        <x:v>관련복습</x:v>
      </x:c>
      <x:c r="H100" s="16" t="str">
        <x:v>C10-S08
공통 연결 뒤</x:v>
      </x:c>
      <x:c r="I100" s="16" t="str">
        <x:v>정답선지②의 493년 동성왕 혼인 동맹 강화와 비교</x:v>
      </x:c>
      <x:c r="J100" s="16" t="str">
        <x:v>이 씬은 433년의 동맹 형성이며 원문 정답은 493년의 강화다. 다음 씬에서 소지왕대 혼인을 다시 읽은 뒤 두 시점을 구별하는 복습으로 사용한다.</x:v>
      </x:c>
      <x:c r="K100" s="16" t="str">
        <x:v>—</x:v>
      </x:c>
      <x:c r="L100" s="16" t="str">
        <x:v>—</x:v>
      </x:c>
      <x:c r="M100" s="16" t="str">
        <x:v>433년 나제 동맹 형성과 493년 혼인 동맹을 같은 해의 같은 사건으로 매핑하지 않는다. 70심화3의 정답은 그대로 동성왕의 강화다.</x:v>
      </x:c>
    </x:row>
    <x:row r="101" ht="53.25" customHeight="1">
      <x:c r="A101" s="10" t="str">
        <x:v>CH10</x:v>
      </x:c>
      <x:c r="B101" s="10" t="str">
        <x:v>THR-C10-S08</x:v>
      </x:c>
      <x:c r="C101" s="13" t="str">
        <x:v>왕계의 빈칸을 채우다</x:v>
      </x:c>
      <x:c r="D101" s="13" t="str">
        <x:v>내물·실성·눌지·자비·소지·지증의 왕위 흐름과 소지왕대 교통·시장·혼인 동맹을 정리한다.</x:v>
      </x:c>
      <x:c r="E101" s="34" t="str">
        <x:v>70회 심화 3번</x:v>
      </x:c>
      <x:c r="F101" s="35" t="n">
        <x:v>2</x:v>
      </x:c>
      <x:c r="G101" s="40" t="str">
        <x:v>관련복습</x:v>
      </x:c>
      <x:c r="H101" s="13" t="str">
        <x:v>C10-S08
공통 연결 뒤</x:v>
      </x:c>
      <x:c r="I101" s="13" t="str">
        <x:v>정답선지②(493년 동성왕·소지왕대 혼인 동맹 강화)</x:v>
      </x:c>
      <x:c r="J101" s="13" t="str">
        <x:v>소지왕대 비지의 딸 혼인이 실제 대사에 다시 나온다. 백제 장에서 풀었던 사건을 신라 왕계 위에 놓고, 바로 앞 433년 동맹과 구별하여 복습한다.</x:v>
      </x:c>
      <x:c r="K101" s="13" t="str">
        <x:v>—</x:v>
      </x:c>
      <x:c r="L101" s="13" t="str">
        <x:v>—</x:v>
      </x:c>
      <x:c r="M101" s="13" t="str">
        <x:v>우역·관도·소지왕대 시장과 왕계 순서를 직접 묻는 선정 문항은 없다. 지증왕 이름이 등장했다고 아직 배우지 않은 우산국·순장 금지 문제를 즉시 출제하지 않는다.</x:v>
      </x:c>
    </x:row>
    <x:row r="102" ht="67.5" customHeight="1">
      <x:c r="A102" s="57" t="str">
        <x:v>CH11</x:v>
      </x:c>
      <x:c r="B102" s="52" t="str">
        <x:v>THR-C11-S01</x:v>
      </x:c>
      <x:c r="C102" s="53" t="str">
        <x:v>쟁기 앞의 소</x:v>
      </x:c>
      <x:c r="D102" s="53" t="str">
        <x:v>지증왕대 우경 장려가 농민의 노동과 소의 공동 이용에 미친 변화</x:v>
      </x:c>
      <x:c r="E102" s="54" t="str">
        <x:v>71회 심화 6번</x:v>
      </x:c>
      <x:c r="F102" s="55" t="n">
        <x:v>3</x:v>
      </x:c>
      <x:c r="G102" s="56" t="str">
        <x:v>서사연결</x:v>
      </x:c>
      <x:c r="H102" s="53" t="str">
        <x:v>C11-S03
공통 연결 뒤</x:v>
      </x:c>
      <x:c r="I102" s="53" t="str">
        <x:v>자료</x:v>
      </x:c>
      <x:c r="J102" s="53" t="str">
        <x:v>우경 장려로 시작하는 지증왕대 생활 장면을, 뒤이어 배우는 국호·왕 칭호·순장 금지와 같은 왕대의 변화로 묶는다. 원문은 우경을 직접 묻지 않으며 정답인 우산국 복속은 S03에서 배우므로 그 뒤에 푼다.</x:v>
      </x:c>
      <x:c r="K102" s="53" t="str">
        <x:v>—</x:v>
      </x:c>
      <x:c r="L102" s="53" t="str">
        <x:v>—</x:v>
      </x:c>
      <x:c r="M102" s="53" t="str">
        <x:v>우경 자체를 직접 묻는 검증 문항은 없다. 소를 빌리는 갈등을 역사 정답으로 채점하지 않고 S01~S03 공통 대화가 끝난 뒤 왕대 복습으로 연결한다.</x:v>
      </x:c>
    </x:row>
    <x:row r="103" ht="67.5" customHeight="1">
      <x:c r="A103" s="10" t="str">
        <x:v>CH11</x:v>
      </x:c>
      <x:c r="B103" s="10" t="str">
        <x:v>THR-C11-S02</x:v>
      </x:c>
      <x:c r="C103" s="13" t="str">
        <x:v>새 이름의 관청</x:v>
      </x:c>
      <x:c r="D103" s="13" t="str">
        <x:v>신라 국호·왕 칭호, 순장 금지, 동시전 설치와 소지왕의 시장 개설 구별</x:v>
      </x:c>
      <x:c r="E103" s="34" t="str">
        <x:v>71회 심화 6번</x:v>
      </x:c>
      <x:c r="F103" s="35" t="n">
        <x:v>3</x:v>
      </x:c>
      <x:c r="G103" s="49" t="str">
        <x:v>직접</x:v>
      </x:c>
      <x:c r="H103" s="13" t="str">
        <x:v>C11-S03
공통 연결 뒤</x:v>
      </x:c>
      <x:c r="I103" s="13" t="str">
        <x:v>자료</x:v>
      </x:c>
      <x:c r="J103" s="13" t="str">
        <x:v>국호를 신라로 정하고 왕 칭호를 채택했으며 순장을 금지했다는 원문 자료가 공통 대사와 일치한다. 원문 정답인 이사부의 우산국 복속까지 배우는 S03으로 실제 출제를 미룬다.</x:v>
      </x:c>
      <x:c r="K103" s="13" t="str">
        <x:v>—</x:v>
      </x:c>
      <x:c r="L103" s="13" t="str">
        <x:v>—</x:v>
      </x:c>
      <x:c r="M103" s="13" t="str">
        <x:v>동시전은 이 문항의 직접 출제 내용이 아니다. 국호·칭호·순장 금지 자료와 연결하며 우산국을 배우기 전에 정답을 고르게 하지 않는다.</x:v>
      </x:c>
    </x:row>
    <x:row r="104" ht="53.25" customHeight="1">
      <x:c r="A104" s="15" t="str">
        <x:v>CH11</x:v>
      </x:c>
      <x:c r="B104" s="15" t="str">
        <x:v>THR-C11-S03</x:v>
      </x:c>
      <x:c r="C104" s="16" t="str">
        <x:v>바다를 두려워한 사공</x:v>
      </x:c>
      <x:c r="D104" s="16" t="str">
        <x:v>지증왕대 이사부의 우산국 복속과 목우사자 전승의 구분</x:v>
      </x:c>
      <x:c r="E104" s="32" t="str">
        <x:v>71회 심화 6번</x:v>
      </x:c>
      <x:c r="F104" s="33" t="n">
        <x:v>3</x:v>
      </x:c>
      <x:c r="G104" s="49" t="str">
        <x:v>직접</x:v>
      </x:c>
      <x:c r="H104" s="16" t="str">
        <x:v>C11-S03
공통 연결 뒤</x:v>
      </x:c>
      <x:c r="I104" s="16" t="str">
        <x:v>정답선지</x:v>
      </x:c>
      <x:c r="J104" s="16" t="str">
        <x:v>S02의 지증왕 식별 단서에 이어 공통 대사에서 이사부·우산국·512년을 확인한다. 원문 ③과 직접 일치하며 목우사자 설화의 사실 여부를 묻는 문제로 바꾸지 않는다.</x:v>
      </x:c>
      <x:c r="K104" s="16" t="str">
        <x:v>—</x:v>
      </x:c>
      <x:c r="L104" s="16" t="str">
        <x:v>—</x:v>
      </x:c>
      <x:c r="M104" s="16" t="str">
        <x:v>S01~S03의 동일 문항·동일 출제 지점은 한 번만 출제한다. 원문 정답은 ③이며 목우사자 전승을 역사적 사실로 확정하는 조건을 추가하지 않는다.</x:v>
      </x:c>
    </x:row>
    <x:row r="105" ht="53.25" customHeight="1">
      <x:c r="A105" s="10" t="str">
        <x:v>CH11</x:v>
      </x:c>
      <x:c r="B105" s="10" t="str">
        <x:v>THR-C11-S04</x:v>
      </x:c>
      <x:c r="C105" s="13" t="str">
        <x:v>같은 잘못의 다른 벌</x:v>
      </x:c>
      <x:c r="D105" s="13" t="str">
        <x:v>법흥왕의 병부 설치와 율령 반포, 관등·공복·법과 신분의 관계</x:v>
      </x:c>
      <x:c r="E105" s="34" t="str">
        <x:v>69회 기본 4번</x:v>
      </x:c>
      <x:c r="F105" s="35" t="n">
        <x:v>1</x:v>
      </x:c>
      <x:c r="G105" s="49" t="str">
        <x:v>직접</x:v>
      </x:c>
      <x:c r="H105" s="13" t="str">
        <x:v>C11-S07
공통 연결 뒤</x:v>
      </x:c>
      <x:c r="I105" s="13" t="str">
        <x:v>자료</x:v>
      </x:c>
      <x:c r="J105" s="13" t="str">
        <x:v>병부 설치와 율령 반포가 원문 연표의 법흥왕 식별 단서다. 원문에는 불교 수용도 있으므로 S05~S07의 공통 대화를 마친 뒤 왕을 고른다.</x:v>
      </x:c>
      <x:c r="K105" s="13" t="str">
        <x:v>—</x:v>
      </x:c>
      <x:c r="L105" s="13" t="str">
        <x:v>—</x:v>
      </x:c>
      <x:c r="M105" s="13" t="str">
        <x:v>같은 잘못을 둘러싼 주민의 대사 선택에는 정답을 부여하지 않는다. 기출은 병부·율령·불교를 정책 묶음으로 확인하는 별도 단계다.</x:v>
      </x:c>
    </x:row>
    <x:row r="106" ht="53.25" customHeight="1">
      <x:c r="A106" s="15" t="str">
        <x:v>CH11</x:v>
      </x:c>
      <x:c r="B106" s="15" t="str">
        <x:v>THR-C11-S05</x:v>
      </x:c>
      <x:c r="C106" s="16" t="str">
        <x:v>왕의 뜻과 숲의 신</x:v>
      </x:c>
      <x:c r="D106" s="16" t="str">
        <x:v>불교 공인 정책과 기존 믿음을 지키려는 주민의 불안</x:v>
      </x:c>
      <x:c r="E106" s="32" t="str">
        <x:v>69회 기본 4번</x:v>
      </x:c>
      <x:c r="F106" s="33" t="n">
        <x:v>1</x:v>
      </x:c>
      <x:c r="G106" s="49" t="str">
        <x:v>직접</x:v>
      </x:c>
      <x:c r="H106" s="16" t="str">
        <x:v>C11-S07
공통 연결 뒤</x:v>
      </x:c>
      <x:c r="I106" s="16" t="str">
        <x:v>자료</x:v>
      </x:c>
      <x:c r="J106" s="16" t="str">
        <x:v>나라가 불교를 공인하는 일은 원문 법흥왕 연표의 단서에 해당한다. 주민의 찬반 대신 S04의 병부·율령과 S07의 왕의 발언을 종합해 법흥왕을 식별한다.</x:v>
      </x:c>
      <x:c r="K106" s="16" t="str">
        <x:v>—</x:v>
      </x:c>
      <x:c r="L106" s="16" t="str">
        <x:v>—</x:v>
      </x:c>
      <x:c r="M106" s="16" t="str">
        <x:v>종교적 믿음이나 주민의 감정을 정오로 나누지 않는다. 정책의 주체를 확인하는 문항만 연결한다.</x:v>
      </x:c>
    </x:row>
    <x:row r="107" ht="53.25" customHeight="1">
      <x:c r="A107" s="10" t="str">
        <x:v>CH11</x:v>
      </x:c>
      <x:c r="B107" s="10" t="str">
        <x:v>THR-C11-S06</x:v>
      </x:c>
      <x:c r="C107" s="13" t="str">
        <x:v>이차돈의 마지막 말</x:v>
      </x:c>
      <x:c r="D107" s="13" t="str">
        <x:v>이차돈의 순교와 흰 피 전승을 구분하고 불교 공인의 맥락 파악</x:v>
      </x:c>
      <x:c r="E107" s="34" t="str">
        <x:v>69회 기본 4번</x:v>
      </x:c>
      <x:c r="F107" s="35" t="n">
        <x:v>1</x:v>
      </x:c>
      <x:c r="G107" s="40" t="str">
        <x:v>관련복습</x:v>
      </x:c>
      <x:c r="H107" s="13" t="str">
        <x:v>C11-S07
공통 연결 뒤</x:v>
      </x:c>
      <x:c r="I107" s="13" t="str">
        <x:v>자료</x:v>
      </x:c>
      <x:c r="J107" s="13" t="str">
        <x:v>이차돈의 죽음은 원문에 제시된 법흥왕대 불교 수용의 배경을 이해하는 장면이다. 이차돈의 이름이나 기적 자체를 묻는 문항은 아니므로 S07에서 정책 묶음으로 복습한다.</x:v>
      </x:c>
      <x:c r="K107" s="13" t="str">
        <x:v>1. 78회 심화 8번 · ③
선지학습 · 오답선지⑤
→ C19-S01 공통 연결 뒤</x:v>
      </x:c>
      <x:c r="L107" s="13" t="str">
        <x:v>—</x:v>
      </x:c>
      <x:c r="M107" s="13" t="str">
        <x:v>원문 78회 심화 8번의 정답은 ③으로 유지한다. ⑤는 법흥왕대의 사실을 후대 문항에서 구별하는 학습 연결이다.</x:v>
      </x:c>
    </x:row>
    <x:row r="108" ht="53.25" customHeight="1">
      <x:c r="A108" s="15" t="str">
        <x:v>CH11</x:v>
      </x:c>
      <x:c r="B108" s="15" t="str">
        <x:v>THR-C11-S07</x:v>
      </x:c>
      <x:c r="C108" s="16" t="str">
        <x:v>법흥왕의 결단</x:v>
      </x:c>
      <x:c r="D108" s="16" t="str">
        <x:v>법흥왕의 율령·불교 공인과 왕권 강화 정책 종합</x:v>
      </x:c>
      <x:c r="E108" s="32" t="str">
        <x:v>69회 기본 4번</x:v>
      </x:c>
      <x:c r="F108" s="33" t="n">
        <x:v>1</x:v>
      </x:c>
      <x:c r="G108" s="49" t="str">
        <x:v>직접</x:v>
      </x:c>
      <x:c r="H108" s="16" t="str">
        <x:v>C11-S07
공통 연결 뒤</x:v>
      </x:c>
      <x:c r="I108" s="16" t="str">
        <x:v>정답선지</x:v>
      </x:c>
      <x:c r="J108" s="16" t="str">
        <x:v>공통 대사에서 법흥왕이 율령과 불교 수용을 자신의 정책으로 말한다. S04부터 누적된 병부·율령·불교 단서를 종합하면 원문 ① 법흥왕을 고를 수 있다.</x:v>
      </x:c>
      <x:c r="K108" s="16" t="str">
        <x:v>—</x:v>
      </x:c>
      <x:c r="L108" s="16" t="str">
        <x:v>—</x:v>
      </x:c>
      <x:c r="M108" s="16" t="str">
        <x:v>S04~S07의 연결은 이 공통 대사 뒤 한 번만 출제한다. 법흥왕을 지지하는 대사를 선택해야 기출을 풀 수 있도록 제한하지 않는다.</x:v>
      </x:c>
    </x:row>
    <x:row r="109" ht="53.25" customHeight="1">
      <x:c r="A109" s="10" t="str">
        <x:v>CH11</x:v>
      </x:c>
      <x:c r="B109" s="10" t="str">
        <x:v>THR-C11-S08</x:v>
      </x:c>
      <x:c r="C109" s="13" t="str">
        <x:v>금관가야에서 온 짐</x:v>
      </x:c>
      <x:c r="D109" s="13" t="str">
        <x:v>금관가야 항복 뒤 장인 가족의 신라 편입과 이름·직업의 보존</x:v>
      </x:c>
      <x:c r="E109" s="34" t="str">
        <x:v>74회 심화 4번</x:v>
      </x:c>
      <x:c r="F109" s="35" t="n">
        <x:v>2</x:v>
      </x:c>
      <x:c r="G109" s="40" t="str">
        <x:v>관련복습</x:v>
      </x:c>
      <x:c r="H109" s="13" t="str">
        <x:v>C12-S09
공통 연결 뒤</x:v>
      </x:c>
      <x:c r="I109" s="13" t="str">
        <x:v>정답선지</x:v>
      </x:c>
      <x:c r="J109" s="13" t="str">
        <x:v>이 장면은 금관가야의 편입이고 원문 정답은 진흥왕의 대가야 병합이다. 두 가야의 멸망을 같은 사건으로 합치지 않도록, 대가야 병합까지 확인하는 C12S09에서 비교한다.</x:v>
      </x:c>
      <x:c r="K109" s="13" t="str">
        <x:v>—</x:v>
      </x:c>
      <x:c r="L109" s="13" t="str">
        <x:v>—</x:v>
      </x:c>
      <x:c r="M109" s="13" t="str">
        <x:v>구형왕의 항복·532년 금관가야 편입을 직접 묻는 검증 문항은 없다. 대가야 562년 정답을 이 장면의 사건으로 옮기지 않는다.</x:v>
      </x:c>
    </x:row>
    <x:row r="110" ht="53.25" customHeight="1">
      <x:c r="A110" s="15" t="str">
        <x:v>CH11</x:v>
      </x:c>
      <x:c r="B110" s="15" t="str">
        <x:v>THR-C11-S09</x:v>
      </x:c>
      <x:c r="C110" s="16" t="str">
        <x:v>갑옷을 벗은 왕자</x:v>
      </x:c>
      <x:c r="D110" s="16" t="str">
        <x:v>구형왕 계통 왕족의 신라 편입과 김무력·김서현·김유신의 세대 구별</x:v>
      </x:c>
      <x:c r="E110" s="32" t="str">
        <x:v>74회 심화 4번</x:v>
      </x:c>
      <x:c r="F110" s="33" t="n">
        <x:v>2</x:v>
      </x:c>
      <x:c r="G110" s="39" t="str">
        <x:v>관련복습</x:v>
      </x:c>
      <x:c r="H110" s="16" t="str">
        <x:v>C12-S09
공통 연결 뒤</x:v>
      </x:c>
      <x:c r="I110" s="16" t="str">
        <x:v>정답선지</x:v>
      </x:c>
      <x:c r="J110" s="16" t="str">
        <x:v>금관가야 왕족의 편입을 가야 전체의 소멸로 오해하지 않도록 대가야 병합 문항과 비교한다. 원문에서 직접 출제한 내용은 대가야 병합이므로 C12S09까지 기다린다.</x:v>
      </x:c>
      <x:c r="K110" s="16" t="str">
        <x:v>—</x:v>
      </x:c>
      <x:c r="L110" s="16" t="str">
        <x:v>—</x:v>
      </x:c>
      <x:c r="M110" s="16" t="str">
        <x:v>김무력·김서현·김유신의 계보나 왕족과 일반 이주민의 처우 차이를 직접 묻는 검증 문항은 없다. 왕족 계보를 별도의 가상 기출로 만들지 않는다.</x:v>
      </x:c>
    </x:row>
    <x:row r="111" ht="53.25" customHeight="1">
      <x:c r="A111" s="10" t="str">
        <x:v>CH11</x:v>
      </x:c>
      <x:c r="B111" s="10" t="str">
        <x:v>THR-C11-S10</x:v>
      </x:c>
      <x:c r="C111" s="13" t="str">
        <x:v>다음 왕의 길</x:v>
      </x:c>
      <x:c r="D111" s="13" t="str">
        <x:v>법흥왕의 상대등·건원 연호와 진흥왕의 계승·부모 구별</x:v>
      </x:c>
      <x:c r="E111" s="34" t="str">
        <x:v>74회 심화 6번</x:v>
      </x:c>
      <x:c r="F111" s="35" t="n">
        <x:v>5</x:v>
      </x:c>
      <x:c r="G111" s="48" t="str">
        <x:v>선지학습</x:v>
      </x:c>
      <x:c r="H111" s="13" t="str">
        <x:v>C16-S04
공통 연결 뒤</x:v>
      </x:c>
      <x:c r="I111" s="13" t="str">
        <x:v>오답선지②</x:v>
      </x:c>
      <x:c r="J111" s="13" t="str">
        <x:v>원문 ②의 건원 연호는 이 장면에서 확인한 법흥왕의 사실이다. 원문이 묻는 왕은 문무왕이므로, 감은사와 외사정을 배우는 C16S04에서 왕별 업적을 비교한다.</x:v>
      </x:c>
      <x:c r="K111" s="13" t="str">
        <x:v>1. 71회 심화 6번 · ③
선지학습 · 오답선지①
→ C11-S10 공통 연결 뒤</x:v>
      </x:c>
      <x:c r="L111" s="13" t="str">
        <x:v>—</x:v>
      </x:c>
      <x:c r="M111" s="13" t="str">
        <x:v>71회 심화 6번은 C11S03에서 이미 푼 문항의 선지 비교 복습이다. 진흥왕의 부모나 건원을 신라 국호로 보는 오해는 대본에서 다루지만 가상 기출을 만들지 않는다.</x:v>
      </x:c>
    </x:row>
    <x:row r="112" ht="67.5" customHeight="1">
      <x:c r="A112" s="57" t="str">
        <x:v>CH12</x:v>
      </x:c>
      <x:c r="B112" s="52" t="str">
        <x:v>THR-C12-S01</x:v>
      </x:c>
      <x:c r="C112" s="53" t="str">
        <x:v>함께 되찾은 강</x:v>
      </x:c>
      <x:c r="D112" s="53" t="str">
        <x:v>551년 백제·신라의 공동 한강 회복과 진흥왕의 개국 연호</x:v>
      </x:c>
      <x:c r="E112" s="54" t="str">
        <x:v>74회 심화 4번</x:v>
      </x:c>
      <x:c r="F112" s="55" t="n">
        <x:v>2</x:v>
      </x:c>
      <x:c r="G112" s="56" t="str">
        <x:v>관련복습</x:v>
      </x:c>
      <x:c r="H112" s="53" t="str">
        <x:v>C12-S09
공통 연결 뒤</x:v>
      </x:c>
      <x:c r="I112" s="53" t="str">
        <x:v>오답선지⑤</x:v>
      </x:c>
      <x:c r="J112" s="53" t="str">
        <x:v>공동으로 강을 되찾은 551년과 원문 ⑤의 신라 한강 하류 장악·신주 설치를 같은 사건으로 합치지 않는 비교에 연결한다. 뒤의 553년 변화와 562년 대가야 병합까지 읽은 S09에서 전체 문제를 푼다.</x:v>
      </x:c>
      <x:c r="K112" s="53" t="str">
        <x:v>—</x:v>
      </x:c>
      <x:c r="L112" s="53" t="str">
        <x:v>—</x:v>
      </x:c>
      <x:c r="M112" s="53" t="str">
        <x:v>551년 공동 회복과 개국 연호를 직접 묻는 검증 문항은 없다. 연결 선지의 사건은 553년이며 현재 장면과 연도를 구분한다.</x:v>
      </x:c>
    </x:row>
    <x:row r="113" ht="67.5" customHeight="1">
      <x:c r="A113" s="10" t="str">
        <x:v>CH12</x:v>
      </x:c>
      <x:c r="B113" s="10" t="str">
        <x:v>THR-C12-S02</x:v>
      </x:c>
      <x:c r="C113" s="13" t="str">
        <x:v>어느 나라의 나루인가</x:v>
      </x:c>
      <x:c r="D113" s="13" t="str">
        <x:v>553년 신라의 한강 하류 장악과 당항성을 통한 교통·교류</x:v>
      </x:c>
      <x:c r="E113" s="34" t="str">
        <x:v>74회 심화 4번</x:v>
      </x:c>
      <x:c r="F113" s="35" t="n">
        <x:v>2</x:v>
      </x:c>
      <x:c r="G113" s="48" t="str">
        <x:v>선지학습</x:v>
      </x:c>
      <x:c r="H113" s="13" t="str">
        <x:v>C12-S09
공통 연결 뒤</x:v>
      </x:c>
      <x:c r="I113" s="13" t="str">
        <x:v>오답선지⑤</x:v>
      </x:c>
      <x:c r="J113" s="13" t="str">
        <x:v>원문 ⑤의 한강 하류 차지는 현재 공통 대사의 553년 사건이다. 원문은 관산성 전투 뒤부터 대야성 함락 전까지를 묻기 때문에 ⑤는 그 구간보다 이른 사건이다. 정답의 대가야 병합을 배우는 S09에서 전체 풀이를 한다.</x:v>
      </x:c>
      <x:c r="K113" s="13" t="str">
        <x:v>—</x:v>
      </x:c>
      <x:c r="L113" s="13" t="str">
        <x:v>—</x:v>
      </x:c>
      <x:c r="M113" s="13" t="str">
        <x:v>당항성의 교역 효과는 이 선지에 직접 나오지 않는다. ⑤를 정답으로 바꾸거나 553년 사건을 554년 이후에 넣지 않는다.</x:v>
      </x:c>
    </x:row>
    <x:row r="114" ht="53.25" customHeight="1">
      <x:c r="A114" s="15" t="str">
        <x:v>CH12</x:v>
      </x:c>
      <x:c r="B114" s="15" t="str">
        <x:v>THR-C12-S03</x:v>
      </x:c>
      <x:c r="C114" s="16" t="str">
        <x:v>신주를 세운 사람</x:v>
      </x:c>
      <x:c r="D114" s="16" t="str">
        <x:v>한강 점령 뒤 신주 설치와 주민의 문서·지방 통치</x:v>
      </x:c>
      <x:c r="E114" s="32" t="str">
        <x:v>74회 심화 4번</x:v>
      </x:c>
      <x:c r="F114" s="33" t="n">
        <x:v>2</x:v>
      </x:c>
      <x:c r="G114" s="48" t="str">
        <x:v>선지학습</x:v>
      </x:c>
      <x:c r="H114" s="16" t="str">
        <x:v>C12-S09
공통 연결 뒤</x:v>
      </x:c>
      <x:c r="I114" s="16" t="str">
        <x:v>오답선지⑤</x:v>
      </x:c>
      <x:c r="J114" s="16" t="str">
        <x:v>원문 ⑤는 신라가 한강 하류를 차지하고 신주를 설치했다는 내용이다. 이 장면은 그 선지의 행정 조치를 직접 설명하며 전체 문제는 S09의 대가야 학습 이후에 푼다.</x:v>
      </x:c>
      <x:c r="K114" s="16" t="str">
        <x:v>—</x:v>
      </x:c>
      <x:c r="L114" s="16" t="str">
        <x:v>—</x:v>
      </x:c>
      <x:c r="M114" s="16" t="str">
        <x:v>신주 설치 자체는 실제 선지와 일치하지만 원문의 시간 구간에 들어가지 않아 오답이다. 정답 ②는 그대로 유지한다.</x:v>
      </x:c>
    </x:row>
    <x:row r="115" ht="53.25" customHeight="1">
      <x:c r="A115" s="10" t="str">
        <x:v>CH12</x:v>
      </x:c>
      <x:c r="B115" s="10" t="str">
        <x:v>THR-C12-S04</x:v>
      </x:c>
      <x:c r="C115" s="13" t="str">
        <x:v>동맹을 잃은 식탁</x:v>
      </x:c>
      <x:c r="D115" s="13" t="str">
        <x:v>관산성 전투에서 성왕이 전사한 사건과 나제 동맹의 붕괴</x:v>
      </x:c>
      <x:c r="E115" s="34" t="str">
        <x:v>76회 심화 3번</x:v>
      </x:c>
      <x:c r="F115" s="35" t="n">
        <x:v>3</x:v>
      </x:c>
      <x:c r="G115" s="49" t="str">
        <x:v>직접</x:v>
      </x:c>
      <x:c r="H115" s="13" t="str">
        <x:v>C12-S04
공통 연결 뒤</x:v>
      </x:c>
      <x:c r="I115" s="13" t="str">
        <x:v>자료(다)</x:v>
      </x:c>
      <x:c r="J115" s="13" t="str">
        <x:v>명농의 관산성 공격과 죽음이라는 원문 (다)를 현재 성왕 전사 장면에 연결한다. 고구려·백제 장에서 이미 다룬 371년과 475년 사건에 이어 554년을 배열한다.</x:v>
      </x:c>
      <x:c r="K115" s="13" t="str">
        <x:v>1. 74회 심화 4번 · ②
직접 · 자료(가)
→ C12-S09 공통 연결 뒤</x:v>
      </x:c>
      <x:c r="L115" s="13" t="str">
        <x:v>—</x:v>
      </x:c>
      <x:c r="M115" s="13" t="str">
        <x:v>원문 사료의 명농은 성왕을 가리킨다. 상인에게 고향을 부인하도록 말하는 선택 여부와 역사 문제의 정답은 관련 없다.</x:v>
      </x:c>
    </x:row>
    <x:row r="116" ht="53.25" customHeight="1">
      <x:c r="A116" s="15" t="str">
        <x:v>CH12</x:v>
      </x:c>
      <x:c r="B116" s="15" t="str">
        <x:v>THR-C12-S05</x:v>
      </x:c>
      <x:c r="C116" s="16" t="str">
        <x:v>산길의 포상</x:v>
      </x:c>
      <x:c r="D116" s="16" t="str">
        <x:v>단양 적성비의 야이차 포상과 순수비와의 성격 차이</x:v>
      </x:c>
      <x:c r="E116" s="32" t="str">
        <x:v>67회 기본 5번</x:v>
      </x:c>
      <x:c r="F116" s="33" t="n">
        <x:v>2</x:v>
      </x:c>
      <x:c r="G116" s="49" t="str">
        <x:v>직접</x:v>
      </x:c>
      <x:c r="H116" s="16" t="str">
        <x:v>C12-S07
공통 연결 뒤</x:v>
      </x:c>
      <x:c r="I116" s="16" t="str">
        <x:v>자료</x:v>
      </x:c>
      <x:c r="J116" s="16" t="str">
        <x:v>적성 주민 야이차의 협력과 포상을 새긴 비는 원문의 단양 신라 적성비 자료에 직접 해당한다. 문항은 같은 왕의 화랑도 정비를 정답으로 요구하므로 S07까지 기다린다.</x:v>
      </x:c>
      <x:c r="K116" s="16" t="str">
        <x:v>—</x:v>
      </x:c>
      <x:c r="L116" s="16" t="str">
        <x:v>—</x:v>
      </x:c>
      <x:c r="M116" s="16" t="str">
        <x:v>적성비를 진흥왕 순수비로 바꾸지 않는다. 건립 연대를 하나로 확정하지 않고 원문에 실제 제시된 인물·비의 성격을 사용한다.</x:v>
      </x:c>
    </x:row>
    <x:row r="117" ht="67.5" customHeight="1">
      <x:c r="A117" s="10" t="str">
        <x:v>CH12</x:v>
      </x:c>
      <x:c r="B117" s="10" t="str">
        <x:v>THR-C12-S06</x:v>
      </x:c>
      <x:c r="C117" s="13" t="str">
        <x:v>왕이 밟은 경계</x:v>
      </x:c>
      <x:c r="D117" s="13" t="str">
        <x:v>북한산·창녕·황초령·마운령 순수비와 개국·대창·홍제 연호</x:v>
      </x:c>
      <x:c r="E117" s="34" t="str">
        <x:v>67회 기본 5번</x:v>
      </x:c>
      <x:c r="F117" s="35" t="n">
        <x:v>2</x:v>
      </x:c>
      <x:c r="G117" s="40" t="str">
        <x:v>관련복습</x:v>
      </x:c>
      <x:c r="H117" s="13" t="str">
        <x:v>C12-S07
공통 연결 뒤</x:v>
      </x:c>
      <x:c r="I117" s="13" t="str">
        <x:v>자료</x:v>
      </x:c>
      <x:c r="J117" s="13" t="str">
        <x:v>이 장면에서 순수비 네 곳과 별개의 단양 적성비를 비교하므로, 적성비를 자료로 제시한 원문을 다시 확인한다. 정답인 화랑도 정비는 S07에서 배우며 전체 문제도 그 뒤에 푼다.</x:v>
      </x:c>
      <x:c r="K117" s="13" t="str">
        <x:v>—</x:v>
      </x:c>
      <x:c r="L117" s="13" t="str">
        <x:v>—</x:v>
      </x:c>
      <x:c r="M117" s="13" t="str">
        <x:v>네 순수비의 위치·연대와 세 연호를 직접 묻는 검증 문항은 없다. 67회 기본 5번을 순수비 네 곳을 맞히는 문제로 소개하지 않는다.</x:v>
      </x:c>
    </x:row>
    <x:row r="118" ht="53.25" customHeight="1">
      <x:c r="A118" s="15" t="str">
        <x:v>CH12</x:v>
      </x:c>
      <x:c r="B118" s="15" t="str">
        <x:v>THR-C12-S07</x:v>
      </x:c>
      <x:c r="C118" s="16" t="str">
        <x:v>함께 걷는 화랑</x:v>
      </x:c>
      <x:c r="D118" s="16" t="str">
        <x:v>진흥왕대 화랑도의 국가 조직 정비와 공동 수련</x:v>
      </x:c>
      <x:c r="E118" s="32" t="str">
        <x:v>67회 기본 5번</x:v>
      </x:c>
      <x:c r="F118" s="33" t="n">
        <x:v>2</x:v>
      </x:c>
      <x:c r="G118" s="49" t="str">
        <x:v>직접</x:v>
      </x:c>
      <x:c r="H118" s="16" t="str">
        <x:v>C12-S07
공통 연결 뒤</x:v>
      </x:c>
      <x:c r="I118" s="16" t="str">
        <x:v>정답선지</x:v>
      </x:c>
      <x:c r="J118" s="16" t="str">
        <x:v>공통 대사에서 화랑도가 진흥왕 때 국가 조직으로 정비되었음을 말한다. S05의 적성비 자료와 연결하면 정답 ② 화랑도 정비를 판단할 수 있다.</x:v>
      </x:c>
      <x:c r="K118" s="16" t="str">
        <x:v>—</x:v>
      </x:c>
      <x:c r="L118" s="16" t="str">
        <x:v>—</x:v>
      </x:c>
      <x:c r="M118" s="16" t="str">
        <x:v>S05~S07의 동일 문항은 이 공통 대화가 끝난 뒤 한 번만 출제한다. 다친 동료를 대하는 말은 관계 분기이며 시험 선택지가 아니다.</x:v>
      </x:c>
    </x:row>
    <x:row r="119" ht="53.25" customHeight="1">
      <x:c r="A119" s="10" t="str">
        <x:v>CH12</x:v>
      </x:c>
      <x:c r="B119" s="10" t="str">
        <x:v>THR-C12-S08</x:v>
      </x:c>
      <x:c r="C119" s="13" t="str">
        <x:v>가야 쪽에서 온 울음</x:v>
      </x:c>
      <x:c r="D119" s="13" t="str">
        <x:v>562년 진흥왕의 대가야 병합과 피란민의 상실</x:v>
      </x:c>
      <x:c r="E119" s="34" t="str">
        <x:v>74회 심화 4번</x:v>
      </x:c>
      <x:c r="F119" s="35" t="n">
        <x:v>2</x:v>
      </x:c>
      <x:c r="G119" s="49" t="str">
        <x:v>직접</x:v>
      </x:c>
      <x:c r="H119" s="13" t="str">
        <x:v>C12-S09
공통 연결 뒤</x:v>
      </x:c>
      <x:c r="I119" s="13" t="str">
        <x:v>정답선지</x:v>
      </x:c>
      <x:c r="J119" s="13" t="str">
        <x:v>562년에 진흥왕이 대가야를 병합했다는 공통 대사가 원문 정답 ②와 일치한다. 피란민을 만난 직후의 감정을 끊지 않고 다음 정착 장면 S09 뒤에 시간 배열 문제를 푼다.</x:v>
      </x:c>
      <x:c r="K119" s="13" t="str">
        <x:v>—</x:v>
      </x:c>
      <x:c r="L119" s="13" t="str">
        <x:v>—</x:v>
      </x:c>
      <x:c r="M119" s="13" t="str">
        <x:v>원문의 시기 구간은 관산성 554년과 대야성 642년 사이다. 병합의 승패와 피란민에게 건네는 말의 좋고 나쁨을 같은 정답으로 취급하지 않는다.</x:v>
      </x:c>
    </x:row>
    <x:row r="120" ht="53.25" customHeight="1">
      <x:c r="A120" s="15" t="str">
        <x:v>CH12</x:v>
      </x:c>
      <x:c r="B120" s="15" t="str">
        <x:v>THR-C12-S09</x:v>
      </x:c>
      <x:c r="C120" s="16" t="str">
        <x:v>새 영토의 일상</x:v>
      </x:c>
      <x:c r="D120" s="16" t="str">
        <x:v>대가야 병합 뒤 도량형·거래 규칙의 변화와 주민 적응</x:v>
      </x:c>
      <x:c r="E120" s="32" t="str">
        <x:v>74회 심화 4번</x:v>
      </x:c>
      <x:c r="F120" s="33" t="n">
        <x:v>2</x:v>
      </x:c>
      <x:c r="G120" s="39" t="str">
        <x:v>관련복습</x:v>
      </x:c>
      <x:c r="H120" s="16" t="str">
        <x:v>C12-S09
공통 연결 뒤</x:v>
      </x:c>
      <x:c r="I120" s="16" t="str">
        <x:v>정답선지</x:v>
      </x:c>
      <x:c r="J120" s="16" t="str">
        <x:v>새 규칙을 배우는 정착 장면을 앞선 대가야 병합의 결과로 읽고, C11의 금관가야 편입과 구별하며 진흥왕 562년 사건을 정리한다. 이곳에서 묶음 문항을 실제로 출제한다.</x:v>
      </x:c>
      <x:c r="K120" s="16" t="str">
        <x:v>—</x:v>
      </x:c>
      <x:c r="L120" s="16" t="str">
        <x:v>—</x:v>
      </x:c>
      <x:c r="M120" s="16" t="str">
        <x:v>거래의 무게 기준이나 주민의 사기 여부를 직접 묻는 검증 기출은 없다. 대가야 병합이라는 원문 사실을 복습하는 마무리 지점이다.</x:v>
      </x:c>
    </x:row>
    <x:row r="121" ht="81.75" customHeight="1">
      <x:c r="A121" s="10" t="str">
        <x:v>CH12</x:v>
      </x:c>
      <x:c r="B121" s="10" t="str">
        <x:v>THR-C12-S10</x:v>
      </x:c>
      <x:c r="C121" s="13" t="str">
        <x:v>높은 탑을 향한 장</x:v>
      </x:c>
      <x:c r="D121" s="13" t="str">
        <x:v>거칠부의 국사 편찬, 임신서기석의 유교 학습 맹세와 연대 유보</x:v>
      </x:c>
      <x:c r="E121" s="34" t="str">
        <x:v>74회 심화 6번</x:v>
      </x:c>
      <x:c r="F121" s="35" t="n">
        <x:v>5</x:v>
      </x:c>
      <x:c r="G121" s="48" t="str">
        <x:v>선지학습</x:v>
      </x:c>
      <x:c r="H121" s="13" t="str">
        <x:v>C16-S04
공통 연결 뒤</x:v>
      </x:c>
      <x:c r="I121" s="13" t="str">
        <x:v>오답선지④</x:v>
      </x:c>
      <x:c r="J121" s="13" t="str">
        <x:v>원문 ④의 거칠부에게 명하여 국사를 편찬한 일은 현재 대사의 진흥왕대 545년 사건이다. 원문이 묻는 문무왕의 외사정까지 배운 C16S04에서 왕별 업적을 비교한다.</x:v>
      </x:c>
      <x:c r="K121" s="13" t="str">
        <x:v>—</x:v>
      </x:c>
      <x:c r="L121" s="13" t="str">
        <x:v>—</x:v>
      </x:c>
      <x:c r="M121" s="13" t="str">
        <x:v>임신서기석을 선지로 제시한 70심화5는 정답인 연개소문의 도사 파견 요청을 실제 대사에서 배우지 않아 이번 출제 후보에서 제외했다. 이 씬에서 되짚는 거칠부의 국사 편찬을 74심화6의 오답선지④와 연결하고, 전체 문제는 문무왕의 외사정까지 배운 CH16S04에서 푼다.</x:v>
      </x:c>
    </x:row>
    <x:row r="122" ht="53.25" customHeight="1">
      <x:c r="A122" s="57" t="str">
        <x:v>CH13</x:v>
      </x:c>
      <x:c r="B122" s="52" t="str">
        <x:v>THR-C13-S01</x:v>
      </x:c>
      <x:c r="C122" s="53" t="str">
        <x:v>여왕을 시험하는 말</x:v>
      </x:c>
      <x:c r="D122" s="53" t="str">
        <x:v>선덕여왕대 분황사와 돌을 벽돌처럼 다듬은 모전석탑</x:v>
      </x:c>
      <x:c r="E122" s="54" t="str">
        <x:v>64회 기본 6번</x:v>
      </x:c>
      <x:c r="F122" s="55" t="n">
        <x:v>1</x:v>
      </x:c>
      <x:c r="G122" s="51" t="str">
        <x:v>직접</x:v>
      </x:c>
      <x:c r="H122" s="53" t="str">
        <x:v>C13-S03
공통 연결 뒤</x:v>
      </x:c>
      <x:c r="I122" s="53" t="str">
        <x:v>자료·정답선지</x:v>
      </x:c>
      <x:c r="J122" s="53" t="str">
        <x:v>선덕여왕·분황사·벽돌 모양으로 다듬은 돌이라는 원문 단서가 공통 대사와 일치한다. 첨성대와 황룡사까지 보되 서로 다른 유산으로 구별한 뒤 S03에서 사진 문제를 푼다.</x:v>
      </x:c>
      <x:c r="K122" s="53" t="str">
        <x:v>—</x:v>
      </x:c>
      <x:c r="L122" s="53" t="str">
        <x:v>—</x:v>
      </x:c>
      <x:c r="M122" s="53" t="str">
        <x:v>원문 사진의 기단 사자상은 부가 단서다. 현재 장면에서 배우는 핵심은 선덕여왕대 분황사와 모전석탑의 재료·방식이다.</x:v>
      </x:c>
    </x:row>
    <x:row r="123" ht="53.25" customHeight="1">
      <x:c r="A123" s="10" t="str">
        <x:v>CH13</x:v>
      </x:c>
      <x:c r="B123" s="10" t="str">
        <x:v>THR-C13-S02</x:v>
      </x:c>
      <x:c r="C123" s="13" t="str">
        <x:v>별을 세는 사람</x:v>
      </x:c>
      <x:c r="D123" s="13" t="str">
        <x:v>선덕여왕대 첨성대와 별·절기 관측의 생활적 의미</x:v>
      </x:c>
      <x:c r="E123" s="34" t="str">
        <x:v>64회 기본 6번</x:v>
      </x:c>
      <x:c r="F123" s="35" t="n">
        <x:v>1</x:v>
      </x:c>
      <x:c r="G123" s="40" t="str">
        <x:v>관련복습</x:v>
      </x:c>
      <x:c r="H123" s="13" t="str">
        <x:v>C13-S03
공통 연결 뒤</x:v>
      </x:c>
      <x:c r="I123" s="13" t="str">
        <x:v>자료</x:v>
      </x:c>
      <x:c r="J123" s="13" t="str">
        <x:v>첨성대 관측 장면을 같은 선덕여왕대 문화 묶음에서 살피되, 원문의 대상은 분황사 모전석탑임을 구별한다. S03의 문화 장면 뒤 앞서 배운 분황사 사진을 복습한다.</x:v>
      </x:c>
      <x:c r="K123" s="13" t="str">
        <x:v>—</x:v>
      </x:c>
      <x:c r="L123" s="13" t="str">
        <x:v>—</x:v>
      </x:c>
      <x:c r="M123" s="13" t="str">
        <x:v>첨성대의 관측 목적을 직접 묻는 검증 문항은 없다. 첨성대를 모전석탑이나 불교 탑으로 분류하지 않는다.</x:v>
      </x:c>
    </x:row>
    <x:row r="124" ht="53.25" customHeight="1">
      <x:c r="A124" s="15" t="str">
        <x:v>CH13</x:v>
      </x:c>
      <x:c r="B124" s="15" t="str">
        <x:v>THR-C13-S03</x:v>
      </x:c>
      <x:c r="C124" s="16" t="str">
        <x:v>아홉 층의 기원</x:v>
      </x:c>
      <x:c r="D124" s="16" t="str">
        <x:v>자장의 건의와 백제 장인 계통이 참여한 황룡사 구층목탑, 절과 탑의 건립 시기 구별</x:v>
      </x:c>
      <x:c r="E124" s="32" t="str">
        <x:v>61회 심화 5번</x:v>
      </x:c>
      <x:c r="F124" s="33" t="n">
        <x:v>1</x:v>
      </x:c>
      <x:c r="G124" s="48" t="str">
        <x:v>선지학습</x:v>
      </x:c>
      <x:c r="H124" s="16" t="str">
        <x:v>C17-S02
공통 연결 뒤</x:v>
      </x:c>
      <x:c r="I124" s="16" t="str">
        <x:v>오답선지③</x:v>
      </x:c>
      <x:c r="J124" s="16" t="str">
        <x:v>원문 ③의 황룡사 구층목탑 건립 건의는 자장의 활동으로 현재 대사와 연결된다. 원문이 묻는 원효의 저술·일심·화쟁·무애가는 C17S02까지 배운 뒤 비교한다.</x:v>
      </x:c>
      <x:c r="K124" s="16" t="str">
        <x:v>—</x:v>
      </x:c>
      <x:c r="L124" s="16" t="str">
        <x:v>—</x:v>
      </x:c>
      <x:c r="M124" s="16" t="str">
        <x:v>황룡사 창건(진흥왕대)과 구층목탑 건립(선덕여왕대)을 구별한다. 61회 심화 5번의 정답은 ① 원효의 일심·화쟁으로 유지하며, ③을 자장 단독 문제의 정답으로 바꾸지 않는다.</x:v>
      </x:c>
    </x:row>
    <x:row r="125" ht="67.5" customHeight="1">
      <x:c r="A125" s="10" t="str">
        <x:v>CH13</x:v>
      </x:c>
      <x:c r="B125" s="10" t="str">
        <x:v>THR-C13-S04</x:v>
      </x:c>
      <x:c r="C125" s="13" t="str">
        <x:v>당으로 가는 사신</x:v>
      </x:c>
      <x:c r="D125" s="13" t="str">
        <x:v>비담·염종의 난 뒤 왕위 계승과 김춘추의 648년 대당 외교</x:v>
      </x:c>
      <x:c r="E125" s="34" t="str">
        <x:v>68회 심화 5번</x:v>
      </x:c>
      <x:c r="F125" s="35" t="n">
        <x:v>2</x:v>
      </x:c>
      <x:c r="G125" s="49" t="str">
        <x:v>직접</x:v>
      </x:c>
      <x:c r="H125" s="13" t="str">
        <x:v>C13-S04
공통 연결 뒤</x:v>
      </x:c>
      <x:c r="I125" s="13" t="str">
        <x:v>자료(나)</x:v>
      </x:c>
      <x:c r="J125" s="13" t="str">
        <x:v>김춘추가 648년에 당으로 가서 군사 협력을 구하려는 공통 대사는 원문 두 번째 외교 자료와 직접 연결된다. C05에서 이미 본 645년 안시성 전투를 두 사신길 사이에 놓아 판단한다.</x:v>
      </x:c>
      <x:c r="K125" s="13" t="str">
        <x:v>1. 78회 심화 8번 · ③
선지학습 · 오답선지①
→ C19-S01 공통 연결 뒤</x:v>
      </x:c>
      <x:c r="L125" s="13" t="str">
        <x:v>김춘추의 고구려 방문은 642년, 당 방문은 648년으로 서로 다른 사신길이다.</x:v>
      </x:c>
      <x:c r="M125" s="13" t="str">
        <x:v>김춘추의 고구려 방문과 당 방문을 한 번의 외교로 합치지 않는다. 78회 심화 8번은 비담·염종을 정답으로 고르는 문제가 아니다.</x:v>
      </x:c>
    </x:row>
    <x:row r="126" ht="67.5" customHeight="1">
      <x:c r="A126" s="15" t="str">
        <x:v>CH13</x:v>
      </x:c>
      <x:c r="B126" s="15" t="str">
        <x:v>THR-C13-S05</x:v>
      </x:c>
      <x:c r="C126" s="16" t="str">
        <x:v>집사부의 새 문서</x:v>
      </x:c>
      <x:c r="D126" s="16" t="str">
        <x:v>진덕여왕대 집사부 설치와 중시, 화백과 정무 처리 기구의 역할 차이</x:v>
      </x:c>
      <x:c r="E126" s="32" t="str">
        <x:v>76회 심화 6번</x:v>
      </x:c>
      <x:c r="F126" s="33" t="n">
        <x:v>2</x:v>
      </x:c>
      <x:c r="G126" s="39" t="str">
        <x:v>서사연결</x:v>
      </x:c>
      <x:c r="H126" s="16" t="str">
        <x:v>C16-S08
공통 연결 뒤</x:v>
      </x:c>
      <x:c r="I126" s="16" t="str">
        <x:v>자료</x:v>
      </x:c>
      <x:c r="J126" s="16" t="str">
        <x:v>집사부·중시를 통한 정무 운영을 이후 신문왕의 통치 정비로 이어 주는 장면이다. 원문 자체는 국학·9주·군제와 관료전·녹읍 개혁을 묻기 때문에 그 개혁까지 배우는 C16S08에 출제한다.</x:v>
      </x:c>
      <x:c r="K126" s="16" t="str">
        <x:v>—</x:v>
      </x:c>
      <x:c r="L126" s="16" t="str">
        <x:v>—</x:v>
      </x:c>
      <x:c r="M126" s="16" t="str">
        <x:v>651년 집사부 설치와 중시를 직접 묻는 검증 문항은 없다. 진덕여왕의 설치 조치를 신문왕이 처음 시행한 일로 바꾸지 않는다.</x:v>
      </x:c>
    </x:row>
    <x:row r="127" ht="67.5" customHeight="1">
      <x:c r="A127" s="10" t="str">
        <x:v>CH13</x:v>
      </x:c>
      <x:c r="B127" s="10" t="str">
        <x:v>THR-C13-S06</x:v>
      </x:c>
      <x:c r="C127" s="13" t="str">
        <x:v>김춘추가 왕이 되다</x:v>
      </x:c>
      <x:c r="D127" s="13" t="str">
        <x:v>김춘추의 진골 왕위 계승과 골품제의 지속, 가야계 김유신의 지위</x:v>
      </x:c>
      <x:c r="E127" s="34" t="str">
        <x:v>73회 기본 6번</x:v>
      </x:c>
      <x:c r="F127" s="35" t="n">
        <x:v>2</x:v>
      </x:c>
      <x:c r="G127" s="49" t="str">
        <x:v>직접</x:v>
      </x:c>
      <x:c r="H127" s="13" t="str">
        <x:v>C13-S06
공통 연결 뒤</x:v>
      </x:c>
      <x:c r="I127" s="13" t="str">
        <x:v>정답선지</x:v>
      </x:c>
      <x:c r="J127" s="13" t="str">
        <x:v>진골 출신 왕이 등장해도 골품의 선이 모두 사라진 것은 아니라는 공통 대사가 원문 정답인 신라의 골품제와 연결된다. 자료에 제시된 경주와 금령총의 주인·하인 표현을 사회 제도로 해석한다.</x:v>
      </x:c>
      <x:c r="K127" s="13" t="str">
        <x:v>—</x:v>
      </x:c>
      <x:c r="L127" s="13" t="str">
        <x:v>—</x:v>
      </x:c>
      <x:c r="M127" s="13" t="str">
        <x:v>왕위 계승 범위의 변화와 골품제 폐지는 다른 일이다. 기마인물형 토기를 김유신 개인의 유물로 연결하지 않는다.</x:v>
      </x:c>
    </x:row>
    <x:row r="128" ht="53.25" customHeight="1">
      <x:c r="A128" s="15" t="str">
        <x:v>CH13</x:v>
      </x:c>
      <x:c r="B128" s="15" t="str">
        <x:v>THR-C13-S07</x:v>
      </x:c>
      <x:c r="C128" s="16" t="str">
        <x:v>660년의 두 배</x:v>
      </x:c>
      <x:c r="D128" s="16" t="str">
        <x:v>덕물도에서 소정방과 김법민이 만나는 660년 나당 연합의 백제 공격 준비</x:v>
      </x:c>
      <x:c r="E128" s="32" t="str">
        <x:v>77회 심화 6번</x:v>
      </x:c>
      <x:c r="F128" s="33" t="n">
        <x:v>2</x:v>
      </x:c>
      <x:c r="G128" s="49" t="str">
        <x:v>직접</x:v>
      </x:c>
      <x:c r="H128" s="16" t="str">
        <x:v>C13-S12
공통 연결 뒤</x:v>
      </x:c>
      <x:c r="I128" s="16" t="str">
        <x:v>자료(가)</x:v>
      </x:c>
      <x:c r="J128" s="16" t="str">
        <x:v>덕물도·소정방·김법민·660년이라는 원문 첫 자료와 공통 대사가 일치한다. 원문의 두 번째 자료가 기벌포 전투이므로 그 사건과 통일 정리까지 본 S12에 전체 문제를 푼다.</x:v>
      </x:c>
      <x:c r="K128" s="16" t="str">
        <x:v>—</x:v>
      </x:c>
      <x:c r="L128" s="16" t="str">
        <x:v>—</x:v>
      </x:c>
      <x:c r="M128" s="16" t="str">
        <x:v>원문 정답은 복신·도침의 부여풍 추대이며 백제 장에서 이미 다루었다. 기벌포 자료를 아직 겪지 않은 S07에서 원문 전체를 먼저 공개하지 않는다.</x:v>
      </x:c>
    </x:row>
    <x:row r="129" ht="53.25" customHeight="1">
      <x:c r="A129" s="10" t="str">
        <x:v>CH13</x:v>
      </x:c>
      <x:c r="B129" s="10" t="str">
        <x:v>THR-C13-S08</x:v>
      </x:c>
      <x:c r="C129" s="13" t="str">
        <x:v>668년의 빈 성</x:v>
      </x:c>
      <x:c r="D129" s="13" t="str">
        <x:v>668년 평양성 함락과 당의 안동도호부·웅진도독부·계림도독부</x:v>
      </x:c>
      <x:c r="E129" s="34" t="str">
        <x:v>73회 기본 7번</x:v>
      </x:c>
      <x:c r="F129" s="35" t="n">
        <x:v>4</x:v>
      </x:c>
      <x:c r="G129" s="49" t="str">
        <x:v>직접</x:v>
      </x:c>
      <x:c r="H129" s="13" t="str">
        <x:v>C13-S08
공통 연결 뒤</x:v>
      </x:c>
      <x:c r="I129" s="13" t="str">
        <x:v>정답선지</x:v>
      </x:c>
      <x:c r="J129" s="13" t="str">
        <x:v>백제 멸망 자료 뒤의 사건을 묻는 원문 정답은 나당 연합군의 평양성 점령이다. 앞의 백제 장과 현재 668년 고구려 멸망 장면을 연결해 바로 풀 수 있다.</x:v>
      </x:c>
      <x:c r="K129" s="13" t="str">
        <x:v>1. 58회 기본 7번 · ①
직접 · 자료
→ C13-S12 공통 연결 뒤</x:v>
      </x:c>
      <x:c r="L129" s="13" t="str">
        <x:v>—</x:v>
      </x:c>
      <x:c r="M129" s="13" t="str">
        <x:v>668년 두 나라의 멸망을 곧바로 나당 전쟁의 종결과 동일시하지 않는다. 아직 남은 전쟁의 결과를 묻는 문제는 뒤로 보낸다.</x:v>
      </x:c>
    </x:row>
    <x:row r="130" ht="53.25" customHeight="1">
      <x:c r="A130" s="15" t="str">
        <x:v>CH13</x:v>
      </x:c>
      <x:c r="B130" s="15" t="str">
        <x:v>THR-C13-S09</x:v>
      </x:c>
      <x:c r="C130" s="16" t="str">
        <x:v>안승의 사람들</x:v>
      </x:c>
      <x:c r="D130" s="16" t="str">
        <x:v>검모잠·고연무의 고구려 부흥 움직임과 문무왕의 안승 보덕왕 책봉</x:v>
      </x:c>
      <x:c r="E130" s="32" t="str">
        <x:v>61회 심화 7번</x:v>
      </x:c>
      <x:c r="F130" s="33" t="n">
        <x:v>2</x:v>
      </x:c>
      <x:c r="G130" s="49" t="str">
        <x:v>직접</x:v>
      </x:c>
      <x:c r="H130" s="16" t="str">
        <x:v>C13-S10
공통 연결 뒤</x:v>
      </x:c>
      <x:c r="I130" s="16" t="str">
        <x:v>정답선지</x:v>
      </x:c>
      <x:c r="J130" s="16" t="str">
        <x:v>공통 대사에서 674년 문무왕의 안승 보덕왕 책봉을 확인하며 원문 ②와 직접 일치한다. 발문의 뒤쪽 시간 경계가 매소성이므로 S10 뒤에 출제한다.</x:v>
      </x:c>
      <x:c r="K130" s="16" t="str">
        <x:v>1. 65회 심화 6번 · ⑤
직접 · 정답선지
→ C13-S10 공통 연결 뒤</x:v>
      </x:c>
      <x:c r="L130" s="16" t="str">
        <x:v>연정토가 신라에 귀부한 첫 자료는 666년의 기록이다.</x:v>
      </x:c>
      <x:c r="M130" s="16" t="str">
        <x:v>검모잠의 부흥 운동과 문무왕의 674년 보덕왕 책봉은 같은 사건이 아니다. 두 문항에서 각각 요구하는 주체와 시기를 구별한다.</x:v>
      </x:c>
    </x:row>
    <x:row r="131" ht="53.25" customHeight="1">
      <x:c r="A131" s="10" t="str">
        <x:v>CH13</x:v>
      </x:c>
      <x:c r="B131" s="10" t="str">
        <x:v>THR-C13-S10</x:v>
      </x:c>
      <x:c r="C131" s="13" t="str">
        <x:v>매소성의 보급길</x:v>
      </x:c>
      <x:c r="D131" s="13" t="str">
        <x:v>675년 매소성 전투와 나당 전쟁의 육상 보급</x:v>
      </x:c>
      <x:c r="E131" s="34" t="str">
        <x:v>61회 심화 7번</x:v>
      </x:c>
      <x:c r="F131" s="35" t="n">
        <x:v>2</x:v>
      </x:c>
      <x:c r="G131" s="49" t="str">
        <x:v>직접</x:v>
      </x:c>
      <x:c r="H131" s="13" t="str">
        <x:v>C13-S10
공통 연결 뒤</x:v>
      </x:c>
      <x:c r="I131" s="13" t="str">
        <x:v>자료(나)</x:v>
      </x:c>
      <x:c r="J131" s="13" t="str">
        <x:v>원문 뒤쪽 자료의 이근행 군대와 매소성 전투가 현재 공통 대사에 나온다. 앞 장면의 674년 보덕왕 책봉을 두 시간 경계 사이의 사건으로 판단한다.</x:v>
      </x:c>
      <x:c r="K131" s="13" t="str">
        <x:v>1. 65회 심화 6번 · ⑤
직접 · 자료(나)
→ C13-S10 공통 연결 뒤</x:v>
      </x:c>
      <x:c r="L131" s="13" t="str">
        <x:v>연정토가 신라에 귀부한 첫 자료는 666년의 기록이다.</x:v>
      </x:c>
      <x:c r="M131" s="13" t="str">
        <x:v>S09~S10에서 연결한 각 원문은 이 공통 대화 뒤 한 번씩만 출제한다. 수레·피란민을 돕는 대사의 우열을 시험 점수로 환산하지 않는다.</x:v>
      </x:c>
    </x:row>
    <x:row r="132" ht="53.25" customHeight="1">
      <x:c r="A132" s="15" t="str">
        <x:v>CH13</x:v>
      </x:c>
      <x:c r="B132" s="15" t="str">
        <x:v>THR-C13-S11</x:v>
      </x:c>
      <x:c r="C132" s="16" t="str">
        <x:v>기벌포의 파도</x:v>
      </x:c>
      <x:c r="D132" s="16" t="str">
        <x:v>676년 기벌포에서 시득의 신라 수군이 설인귀의 당군을 물리친 과정</x:v>
      </x:c>
      <x:c r="E132" s="32" t="str">
        <x:v>58회 기본 7번</x:v>
      </x:c>
      <x:c r="F132" s="33" t="n">
        <x:v>1</x:v>
      </x:c>
      <x:c r="G132" s="49" t="str">
        <x:v>직접</x:v>
      </x:c>
      <x:c r="H132" s="16" t="str">
        <x:v>C13-S12
공통 연결 뒤</x:v>
      </x:c>
      <x:c r="I132" s="16" t="str">
        <x:v>정답선지</x:v>
      </x:c>
      <x:c r="J132" s="16" t="str">
        <x:v>기벌포에서 당군을 물리친다는 공통 대사는 원문 정답 ①에 직접 대응한다. 사람을 구조하는 장면을 마친 뒤 S12의 통일 정리에서 풀도록 둔다.</x:v>
      </x:c>
      <x:c r="K132" s="16" t="str">
        <x:v>1. 77회 심화 6번 · ②
직접 · 자료(나)
→ C13-S12 공통 연결 뒤</x:v>
      </x:c>
      <x:c r="L132" s="16" t="str">
        <x:v>—</x:v>
      </x:c>
      <x:c r="M132" s="16" t="str">
        <x:v>매소성의 육상전과 기벌포의 수군 전투를 구별한다. 기벌포 승리 뒤에도 구조가 진행되는 공통 마무리의 감정을 먼저 끝낸다.</x:v>
      </x:c>
    </x:row>
    <x:row r="133" ht="67.5" customHeight="1">
      <x:c r="A133" s="10" t="str">
        <x:v>CH13</x:v>
      </x:c>
      <x:c r="B133" s="10" t="str">
        <x:v>THR-C13-S12</x:v>
      </x:c>
      <x:c r="C133" s="13" t="str">
        <x:v>통일의 바깥을 묻다</x:v>
      </x:c>
      <x:c r="D133" s="13" t="str">
        <x:v>삼국 통일의 과정·영역상 한계와 남은 유민, 가야로 돌아가는 이유</x:v>
      </x:c>
      <x:c r="E133" s="34" t="str">
        <x:v>58회 기본 7번</x:v>
      </x:c>
      <x:c r="F133" s="35" t="n">
        <x:v>1</x:v>
      </x:c>
      <x:c r="G133" s="40" t="str">
        <x:v>관련복습</x:v>
      </x:c>
      <x:c r="H133" s="13" t="str">
        <x:v>C13-S12
공통 연결 뒤</x:v>
      </x:c>
      <x:c r="I133" s="13" t="str">
        <x:v>자료·정답선지</x:v>
      </x:c>
      <x:c r="J133" s="13" t="str">
        <x:v>당의 지배 시도에서 나당 전쟁과 기벌포 승리로 이어진 과정을 문무왕의 통일이라는 말과 함께 종합한다. S08·S11의 연결과 합쳐 이곳에서 한 번만 푼다.</x:v>
      </x:c>
      <x:c r="K133" s="13" t="str">
        <x:v>1. 67회 기본 7번 · ②
직접 · 자료(전체)·정답선지
→ C13-S12 공통 연결 뒤</x:v>
      </x:c>
      <x:c r="L133" s="13" t="str">
        <x:v>—</x:v>
      </x:c>
      <x:c r="M133" s="13" t="str">
        <x:v>통일의 한계나 유민 어머니의 감정을 하나의 선지로 채점하는 문항은 아니다. 58기본7·77심화6은 앞 씬에서 도착한 대표 연결을 각각 한 번으로 합쳐 출제한다. 67기본7은 추가 복습 후보다.</x:v>
      </x:c>
    </x:row>
    <x:row r="134" ht="53.25" customHeight="1">
      <x:c r="A134" s="57" t="str">
        <x:v>CH14</x:v>
      </x:c>
      <x:c r="B134" s="52" t="str">
        <x:v>THR-C14-S01</x:v>
      </x:c>
      <x:c r="C134" s="53" t="str">
        <x:v>낙동강의 첫 물결</x:v>
      </x:c>
      <x:c r="D134" s="53" t="str">
        <x:v>김해 금관가야와 김수로왕 건국 전승, 42년 설화와 3세기 항구의 구별</x:v>
      </x:c>
      <x:c r="E134" s="54" t="str">
        <x:v>79회 심화 4번</x:v>
      </x:c>
      <x:c r="F134" s="55" t="n">
        <x:v>1</x:v>
      </x:c>
      <x:c r="G134" s="51" t="str">
        <x:v>직접</x:v>
      </x:c>
      <x:c r="H134" s="53" t="str">
        <x:v>C14-S06
공통 연결 뒤</x:v>
      </x:c>
      <x:c r="I134" s="53" t="str">
        <x:v>자료</x:v>
      </x:c>
      <x:c r="J134" s="53" t="str">
        <x:v>김수로왕 전승과 김해라는 원문 국가 식별 단서가 현재 대사에 직접 나온다. 질문은 경제 상황을 묻기 때문에 철 생산과 왜 교역을 배우는 S06까지 실제 출제를 미룬다.</x:v>
      </x:c>
      <x:c r="K134" s="53" t="str">
        <x:v>—</x:v>
      </x:c>
      <x:c r="L134" s="53" t="str">
        <x:v>—</x:v>
      </x:c>
      <x:c r="M134" s="53" t="str">
        <x:v>구지가의 제목을 직접 묻는 문제는 배정하지 않는다. 건국 전승을 3세기 항구의 생활을 그대로 촬영한 기록처럼 취급하지 않는다.</x:v>
      </x:c>
    </x:row>
    <x:row r="135" ht="53.25" customHeight="1">
      <x:c r="A135" s="10" t="str">
        <x:v>CH14</x:v>
      </x:c>
      <x:c r="B135" s="10" t="str">
        <x:v>THR-C14-S02</x:v>
      </x:c>
      <x:c r="C135" s="13" t="str">
        <x:v>여러 왕의 약속</x:v>
      </x:c>
      <x:c r="D135" s="13" t="str">
        <x:v>가야의 여러 나라·왕이 각자 권한을 가진 연맹 체제</x:v>
      </x:c>
      <x:c r="E135" s="34" t="str">
        <x:v>79회 심화 4번</x:v>
      </x:c>
      <x:c r="F135" s="35" t="n">
        <x:v>1</x:v>
      </x:c>
      <x:c r="G135" s="40" t="str">
        <x:v>관련복습</x:v>
      </x:c>
      <x:c r="H135" s="13" t="str">
        <x:v>C14-S06
공통 연결 뒤</x:v>
      </x:c>
      <x:c r="I135" s="13" t="str">
        <x:v>자료</x:v>
      </x:c>
      <x:c r="J135" s="13" t="str">
        <x:v>여러 가야를 한 왕국으로 합치지 않고 원문 김해·김수로 단서의 대상을 금관가야로 좁혀 읽는 연습에 연결한다. 원문 정답의 경제 활동은 S06까지 배우고 푼다.</x:v>
      </x:c>
      <x:c r="K135" s="13" t="str">
        <x:v>—</x:v>
      </x:c>
      <x:c r="L135" s="13" t="str">
        <x:v>—</x:v>
      </x:c>
      <x:c r="M135" s="13" t="str">
        <x:v>계약 권한과 연맹 운영을 직접 묻는 검증 문항은 없다. 금관가야에 관한 원문 단서를 가야 모든 정치체가 같은 지휘를 받았다는 뜻으로 읽지 않는다.</x:v>
      </x:c>
    </x:row>
    <x:row r="136" ht="53.25" customHeight="1">
      <x:c r="A136" s="15" t="str">
        <x:v>CH14</x:v>
      </x:c>
      <x:c r="B136" s="15" t="str">
        <x:v>THR-C14-S03</x:v>
      </x:c>
      <x:c r="C136" s="16" t="str">
        <x:v>뜨거운 노의 규칙</x:v>
      </x:c>
      <x:c r="D136" s="16" t="str">
        <x:v>가야의 철 생산과 덩이쇠·농기구·판매품으로 이어지는 가공</x:v>
      </x:c>
      <x:c r="E136" s="32" t="str">
        <x:v>79회 심화 4번</x:v>
      </x:c>
      <x:c r="F136" s="33" t="n">
        <x:v>1</x:v>
      </x:c>
      <x:c r="G136" s="49" t="str">
        <x:v>직접</x:v>
      </x:c>
      <x:c r="H136" s="16" t="str">
        <x:v>C14-S06
공통 연결 뒤</x:v>
      </x:c>
      <x:c r="I136" s="16" t="str">
        <x:v>정답선지</x:v>
      </x:c>
      <x:c r="J136" s="16" t="str">
        <x:v>철을 생산해 덩이쇠와 판매품을 만든다는 공통 대사는 원문 철 수출의 생산 기반을 직접 설명한다. 교역 상대를 만나는 S06까지 읽은 뒤 경제 활동을 선택한다.</x:v>
      </x:c>
      <x:c r="K136" s="16" t="str">
        <x:v>—</x:v>
      </x:c>
      <x:c r="L136" s="16" t="str">
        <x:v>—</x:v>
      </x:c>
      <x:c r="M136" s="16" t="str">
        <x:v>철 생산만 배운 시점에서 전체 수출 문항을 먼저 내지 않는다. 낙랑을 포함한 원문의 교역 범위와 현재 장면에서 직접 체험한 범위는 S06의 주의 문구대로 구별한다.</x:v>
      </x:c>
    </x:row>
    <x:row r="137" ht="53.25" customHeight="1">
      <x:c r="A137" s="10" t="str">
        <x:v>CH14</x:v>
      </x:c>
      <x:c r="B137" s="10" t="str">
        <x:v>THR-C14-S04</x:v>
      </x:c>
      <x:c r="C137" s="13" t="str">
        <x:v>덩이쇠의 값</x:v>
      </x:c>
      <x:c r="D137" s="13" t="str">
        <x:v>덩이쇠의 원료·교환 수단 기능과 질·무게의 중요성</x:v>
      </x:c>
      <x:c r="E137" s="34" t="str">
        <x:v>79회 심화 4번</x:v>
      </x:c>
      <x:c r="F137" s="35" t="n">
        <x:v>1</x:v>
      </x:c>
      <x:c r="G137" s="40" t="str">
        <x:v>관련복습</x:v>
      </x:c>
      <x:c r="H137" s="13" t="str">
        <x:v>C14-S06
공통 연결 뒤</x:v>
      </x:c>
      <x:c r="I137" s="13" t="str">
        <x:v>정답선지</x:v>
      </x:c>
      <x:c r="J137" s="13" t="str">
        <x:v>덩이쇠를 재료이자 거래 수단으로 사용하는 장면은 철이 가야 경제에서 차지한 의미를 이해하게 한다. 원문이 직접 묻는 철 수출은 S06에서 교역을 확인한 뒤 복습한다.</x:v>
      </x:c>
      <x:c r="K137" s="13" t="str">
        <x:v>—</x:v>
      </x:c>
      <x:c r="L137" s="13" t="str">
        <x:v>—</x:v>
      </x:c>
      <x:c r="M137" s="13" t="str">
        <x:v>덩이쇠가 화폐처럼 모두 같은 규격이었다거나 질·무게 판정 자체가 실제 기출 정답이라고 확장하지 않는다. 교환 수단의 세부 기능을 직접 묻는 검증 문항은 없다.</x:v>
      </x:c>
    </x:row>
    <x:row r="138" ht="53.25" customHeight="1">
      <x:c r="A138" s="15" t="str">
        <x:v>CH14</x:v>
      </x:c>
      <x:c r="B138" s="15" t="str">
        <x:v>THR-C14-S05</x:v>
      </x:c>
      <x:c r="C138" s="16" t="str">
        <x:v>칼보다 먼저 만든 것</x:v>
      </x:c>
      <x:c r="D138" s="16" t="str">
        <x:v>가야 철 가공의 농기구·무기 수요와 장인의 노동</x:v>
      </x:c>
      <x:c r="E138" s="32" t="str">
        <x:v>69회 기본 3번</x:v>
      </x:c>
      <x:c r="F138" s="33" t="n">
        <x:v>4</x:v>
      </x:c>
      <x:c r="G138" s="39" t="str">
        <x:v>관련복습</x:v>
      </x:c>
      <x:c r="H138" s="16" t="str">
        <x:v>C14-S07
공통 연결 뒤</x:v>
      </x:c>
      <x:c r="I138" s="16" t="str">
        <x:v>정답선지</x:v>
      </x:c>
      <x:c r="J138" s="16" t="str">
        <x:v>농기구와 군수품을 함께 만드는 철 가공 장면을 가야의 철제 유물 학습에 연결한다. 원문 정답인 판갑옷은 S07에서 직접 배우므로 그 뒤에 사진 문제를 푼다.</x:v>
      </x:c>
      <x:c r="K138" s="16" t="str">
        <x:v>—</x:v>
      </x:c>
      <x:c r="L138" s="16" t="str">
        <x:v>—</x:v>
      </x:c>
      <x:c r="M138" s="16" t="str">
        <x:v>어느 주문을 먼저 처리할지는 서사의 관계 선택이다. 원문은 생산 일정이나 농기구 우선순위를 정답으로 묻지 않는다.</x:v>
      </x:c>
    </x:row>
    <x:row r="139" ht="67.5" customHeight="1">
      <x:c r="A139" s="10" t="str">
        <x:v>CH14</x:v>
      </x:c>
      <x:c r="B139" s="10" t="str">
        <x:v>THR-C14-S06</x:v>
      </x:c>
      <x:c r="C139" s="13" t="str">
        <x:v>바다 건너의 계약</x:v>
      </x:c>
      <x:c r="D139" s="13" t="str">
        <x:v>왜로 건너가는 철·토기 교역과 물품 단위·계약의 확인</x:v>
      </x:c>
      <x:c r="E139" s="34" t="str">
        <x:v>79회 심화 4번</x:v>
      </x:c>
      <x:c r="F139" s="35" t="n">
        <x:v>1</x:v>
      </x:c>
      <x:c r="G139" s="49" t="str">
        <x:v>직접</x:v>
      </x:c>
      <x:c r="H139" s="13" t="str">
        <x:v>C14-S06
공통 연결 뒤</x:v>
      </x:c>
      <x:c r="I139" s="13" t="str">
        <x:v>정답선지</x:v>
      </x:c>
      <x:c r="J139" s="13" t="str">
        <x:v>현재 공통 대사에서 덩이쇠와 토기를 싣고 왜로 돌아가는 교역을 확인한다. S01의 김해·수로왕, S03의 철 생산과 연결해 가야의 경제 활동을 고르는 문항을 푼다.</x:v>
      </x:c>
      <x:c r="K139" s="13" t="str">
        <x:v>—</x:v>
      </x:c>
      <x:c r="L139" s="13" t="str">
        <x:v>—</x:v>
      </x:c>
      <x:c r="M139" s="13" t="str">
        <x:v>원문 정답은 낙랑과 왜에 철을 수출했다는 내용이다. 본편은 왜 교역을 직접 다루므로 낙랑 교역은 기출 해설에서 보충하는 범위로 명시하고, 4세기 장면의 거래 상대를 모두 낙랑으로 바꾸거나 군현 존속 시기를 늘리지 않는다.</x:v>
      </x:c>
    </x:row>
    <x:row r="140" ht="53.25" customHeight="1">
      <x:c r="A140" s="15" t="str">
        <x:v>CH14</x:v>
      </x:c>
      <x:c r="B140" s="15" t="str">
        <x:v>THR-C14-S07</x:v>
      </x:c>
      <x:c r="C140" s="16" t="str">
        <x:v>갑옷 속의 사람</x:v>
      </x:c>
      <x:c r="D140" s="16" t="str">
        <x:v>철판을 이어 만든 가야 판갑옷과 장인 가족의 전쟁 불안</x:v>
      </x:c>
      <x:c r="E140" s="32" t="str">
        <x:v>69회 기본 3번</x:v>
      </x:c>
      <x:c r="F140" s="33" t="n">
        <x:v>4</x:v>
      </x:c>
      <x:c r="G140" s="49" t="str">
        <x:v>직접</x:v>
      </x:c>
      <x:c r="H140" s="16" t="str">
        <x:v>C14-S07
공통 연결 뒤</x:v>
      </x:c>
      <x:c r="I140" s="16" t="str">
        <x:v>정답선지</x:v>
      </x:c>
      <x:c r="J140" s="16" t="str">
        <x:v>공통 대사에서 철판을 이어 만든 판갑옷을 직접 설명한다. 원문 ④의 철제 판갑옷 사진·명칭과 대응하므로 같은 가야 문화유산으로 판별할 수 있다.</x:v>
      </x:c>
      <x:c r="K140" s="16" t="str">
        <x:v>—</x:v>
      </x:c>
      <x:c r="L140" s="16" t="str">
        <x:v>—</x:v>
      </x:c>
      <x:c r="M140" s="16" t="str">
        <x:v>S05에서 예고한 같은 문제는 여기서 한 번만 출제한다. 장인 아들의 안위를 장담하는 선택이나 갑옷을 아름답다고 말하는 선택이 정답 조건이 아니다.</x:v>
      </x:c>
    </x:row>
    <x:row r="141" ht="53.25" customHeight="1">
      <x:c r="A141" s="10" t="str">
        <x:v>CH14</x:v>
      </x:c>
      <x:c r="B141" s="10" t="str">
        <x:v>THR-C14-S08</x:v>
      </x:c>
      <x:c r="C141" s="13" t="str">
        <x:v>400년 뒤의 항구</x:v>
      </x:c>
      <x:c r="D141" s="13" t="str">
        <x:v>400년 광개토왕의 신라 구원이 금관가야권 항로에 미친 여파</x:v>
      </x:c>
      <x:c r="E141" s="34" t="str">
        <x:v>67회 기본 3번</x:v>
      </x:c>
      <x:c r="F141" s="35" t="n">
        <x:v>4</x:v>
      </x:c>
      <x:c r="G141" s="40" t="str">
        <x:v>관련복습</x:v>
      </x:c>
      <x:c r="H141" s="13" t="str">
        <x:v>C14-S08
공통 연결 뒤</x:v>
      </x:c>
      <x:c r="I141" s="13" t="str">
        <x:v>정답선지</x:v>
      </x:c>
      <x:c r="J141" s="13" t="str">
        <x:v>광개토왕이 신라를 구해 왜군을 물리쳤다는 공통 대사를 이미 거친 고구려·신라의 사건과 다시 연결한다. 원문 정답 ④를 가야 항구에 미친 여파라는 관점에서 복습한다.</x:v>
      </x:c>
      <x:c r="K141" s="13" t="str">
        <x:v>—</x:v>
      </x:c>
      <x:c r="L141" s="13" t="str">
        <x:v>—</x:v>
      </x:c>
      <x:c r="M141" s="13" t="str">
        <x:v>원문은 가야의 멸망을 묻지 않는다. 400년 전쟁 뒤 금관가야권이 약화되었다는 맥락을 532년·562년 멸망과 같은 사건으로 합치지 않는다.</x:v>
      </x:c>
    </x:row>
    <x:row r="142" ht="53.25" customHeight="1">
      <x:c r="A142" s="57" t="str">
        <x:v>CH15</x:v>
      </x:c>
      <x:c r="B142" s="52" t="str">
        <x:v>THR-C15-S01</x:v>
      </x:c>
      <x:c r="C142" s="53" t="str">
        <x:v>고령으로 간 철</x:v>
      </x:c>
      <x:c r="D142" s="53" t="str">
        <x:v>5세기 고령 대가야의 성장과 금관가야 외의 교역망</x:v>
      </x:c>
      <x:c r="E142" s="54" t="str">
        <x:v>67회 기본 6번</x:v>
      </x:c>
      <x:c r="F142" s="55" t="n">
        <x:v>3</x:v>
      </x:c>
      <x:c r="G142" s="56" t="str">
        <x:v>관련복습</x:v>
      </x:c>
      <x:c r="H142" s="53" t="str">
        <x:v>C15-S04
공통 연결 뒤</x:v>
      </x:c>
      <x:c r="I142" s="53" t="str">
        <x:v>자료</x:v>
      </x:c>
      <x:c r="J142" s="53" t="str">
        <x:v>고령의 대가야와 김해의 금관가야를 구별하는 대사는 원문 여러 가야 고분군의 지역을 읽는 데 도움을 준다. S03~S04의 지역별 문화·고분 장면 뒤 철 경제를 복습한다.</x:v>
      </x:c>
      <x:c r="K142" s="53" t="str">
        <x:v>—</x:v>
      </x:c>
      <x:c r="L142" s="53" t="str">
        <x:v>—</x:v>
      </x:c>
      <x:c r="M142" s="53" t="str">
        <x:v>5세기 중심 이동을 직접 묻는 검증 문항은 없다. 금관가야의 쇠만 가야 경제를 대표했다고 단정하지 않는다.</x:v>
      </x:c>
    </x:row>
    <x:row r="143" ht="53.25" customHeight="1">
      <x:c r="A143" s="10" t="str">
        <x:v>CH15</x:v>
      </x:c>
      <x:c r="B143" s="10" t="str">
        <x:v>THR-C15-S02</x:v>
      </x:c>
      <x:c r="C143" s="13" t="str">
        <x:v>하나가 아닌 회의</x:v>
      </x:c>
      <x:c r="D143" s="13" t="str">
        <x:v>대가야 성장 뒤에도 지속된 여러 가야의 자율적 외교·연맹</x:v>
      </x:c>
      <x:c r="E143" s="34" t="str">
        <x:v>67회 기본 6번</x:v>
      </x:c>
      <x:c r="F143" s="35" t="n">
        <x:v>3</x:v>
      </x:c>
      <x:c r="G143" s="40" t="str">
        <x:v>관련복습</x:v>
      </x:c>
      <x:c r="H143" s="13" t="str">
        <x:v>C15-S04
공통 연결 뒤</x:v>
      </x:c>
      <x:c r="I143" s="13" t="str">
        <x:v>자료</x:v>
      </x:c>
      <x:c r="J143" s="13" t="str">
        <x:v>여러 가야가 서로 다른 외교와 계약을 가진다는 장면을 원문 김해·고령·함안 고분군의 다원성에 연결한다. 세 지역과 유물을 살핀 S04 뒤 가야 경제 문항으로 묶어 복습한다.</x:v>
      </x:c>
      <x:c r="K143" s="13" t="str">
        <x:v>—</x:v>
      </x:c>
      <x:c r="L143" s="13" t="str">
        <x:v>—</x:v>
      </x:c>
      <x:c r="M143" s="13" t="str">
        <x:v>원문이 연맹 회의의 의결 방식이나 특정 외교 노선을 직접 묻는 것은 아니다. 하나의 가야 왕실이 모든 지역을 지휘했다고 설명하지 않는다.</x:v>
      </x:c>
    </x:row>
    <x:row r="144" ht="67.5" customHeight="1">
      <x:c r="A144" s="15" t="str">
        <x:v>CH15</x:v>
      </x:c>
      <x:c r="B144" s="15" t="str">
        <x:v>THR-C15-S03</x:v>
      </x:c>
      <x:c r="C144" s="16" t="str">
        <x:v>토기에 남은 다른 선</x:v>
      </x:c>
      <x:c r="D144" s="16" t="str">
        <x:v>고령·김해·함안 토기의 지역 차이와 왜 스에키 기술 전파</x:v>
      </x:c>
      <x:c r="E144" s="32" t="str">
        <x:v>67회 기본 6번</x:v>
      </x:c>
      <x:c r="F144" s="33" t="n">
        <x:v>3</x:v>
      </x:c>
      <x:c r="G144" s="39" t="str">
        <x:v>관련복습</x:v>
      </x:c>
      <x:c r="H144" s="16" t="str">
        <x:v>C15-S04
공통 연결 뒤</x:v>
      </x:c>
      <x:c r="I144" s="16" t="str">
        <x:v>자료</x:v>
      </x:c>
      <x:c r="J144" s="16" t="str">
        <x:v>공통 대사에 등장하는 고령·김해·함안은 원문 자료의 여러 가야 유물 산지와 연결된다. 지역마다 유물이 다를 수 있음을 확인하고 S04 뒤 같은 가야 경제의 공통점인 철을 복습한다.</x:v>
      </x:c>
      <x:c r="K144" s="16" t="str">
        <x:v>—</x:v>
      </x:c>
      <x:c r="L144" s="16" t="str">
        <x:v>—</x:v>
      </x:c>
      <x:c r="M144" s="16" t="str">
        <x:v>원문에 제시된 유물은 금동 장식류이며 현재 장면의 토기와 동일한 물건이 아니다. 스에키 기술 전파를 직접 묻는 검증 문항은 없다.</x:v>
      </x:c>
    </x:row>
    <x:row r="145" ht="67.5" customHeight="1">
      <x:c r="A145" s="10" t="str">
        <x:v>CH15</x:v>
      </x:c>
      <x:c r="B145" s="10" t="str">
        <x:v>THR-C15-S04</x:v>
      </x:c>
      <x:c r="C145" s="13" t="str">
        <x:v>무덤 밖의 침묵</x:v>
      </x:c>
      <x:c r="D145" s="13" t="str">
        <x:v>가야 고분의 위계와 순장, 무덤 규모 뒤에 가려진 사람</x:v>
      </x:c>
      <x:c r="E145" s="34" t="str">
        <x:v>67회 기본 6번</x:v>
      </x:c>
      <x:c r="F145" s="35" t="n">
        <x:v>3</x:v>
      </x:c>
      <x:c r="G145" s="40" t="str">
        <x:v>관련복습</x:v>
      </x:c>
      <x:c r="H145" s="13" t="str">
        <x:v>C15-S04
공통 연결 뒤</x:v>
      </x:c>
      <x:c r="I145" s="13" t="str">
        <x:v>자료</x:v>
      </x:c>
      <x:c r="J145" s="13" t="str">
        <x:v>가야 고분에서 나온 물건이 당시 사회를 알려 준다는 연결로 원문 여러 고분군의 유물을 읽는다. C14에서 확인한 철 생산·왜 교역을 활용해 가야를 식별하고 경제를 복습한다.</x:v>
      </x:c>
      <x:c r="K145" s="13" t="str">
        <x:v>—</x:v>
      </x:c>
      <x:c r="L145" s="13" t="str">
        <x:v>—</x:v>
      </x:c>
      <x:c r="M145" s="13" t="str">
        <x:v>순장을 직접 묻는 검증 문항은 없다. 원문 고분군 단서를 순장된 인원의 확인 문제로 바꾸지 않는다. 낙랑 교역은 C14S06에서 명시한 기출 해설의 확장 범위로 처리한다.</x:v>
      </x:c>
    </x:row>
    <x:row r="146" ht="67.5" customHeight="1">
      <x:c r="A146" s="15" t="str">
        <x:v>CH15</x:v>
      </x:c>
      <x:c r="B146" s="15" t="str">
        <x:v>THR-C15-S05</x:v>
      </x:c>
      <x:c r="C146" s="16" t="str">
        <x:v>열두 줄을 지키다</x:v>
      </x:c>
      <x:c r="D146" s="16" t="str">
        <x:v>가실왕의 명으로 곡을 짓고 신라에 가야 음악을 전한 우륵</x:v>
      </x:c>
      <x:c r="E146" s="32" t="str">
        <x:v>74회 심화 4번</x:v>
      </x:c>
      <x:c r="F146" s="33" t="n">
        <x:v>2</x:v>
      </x:c>
      <x:c r="G146" s="39" t="str">
        <x:v>서사연결</x:v>
      </x:c>
      <x:c r="H146" s="16" t="str">
        <x:v>C15-S08
공통 연결 뒤</x:v>
      </x:c>
      <x:c r="I146" s="16" t="str">
        <x:v>정답선지</x:v>
      </x:c>
      <x:c r="J146" s="16" t="str">
        <x:v>가야 음악을 들고 신라로 이동한 인물의 삶을, 뒤이어 읽는 금관가야와 대가야의 편입 시기 비교로 잇는다. 원문은 우륵의 음악이 아니라 대가야 병합을 묻기 때문에 S08의 장 마무리에서만 복습한다.</x:v>
      </x:c>
      <x:c r="K146" s="16" t="str">
        <x:v>—</x:v>
      </x:c>
      <x:c r="L146" s="16" t="str">
        <x:v>—</x:v>
      </x:c>
      <x:c r="M146" s="16" t="str">
        <x:v>우륵·가실왕·가야금·열두 곡을 직접 묻는 검증 문항은 없다. 출제 연결은 문화 이동을 읽은 뒤 정치적 병합을 다시 정리하는 서사 연결이다.</x:v>
      </x:c>
    </x:row>
    <x:row r="147" ht="67.5" customHeight="1">
      <x:c r="A147" s="10" t="str">
        <x:v>CH15</x:v>
      </x:c>
      <x:c r="B147" s="10" t="str">
        <x:v>THR-C15-S06</x:v>
      </x:c>
      <x:c r="C147" s="13" t="str">
        <x:v>532년의 다른 길</x:v>
      </x:c>
      <x:c r="D147" s="13" t="str">
        <x:v>532년 법흥왕의 금관가야 편입과 562년 진흥왕의 대가야 병합 비교</x:v>
      </x:c>
      <x:c r="E147" s="34" t="str">
        <x:v>74회 심화 4번</x:v>
      </x:c>
      <x:c r="F147" s="35" t="n">
        <x:v>2</x:v>
      </x:c>
      <x:c r="G147" s="40" t="str">
        <x:v>관련복습</x:v>
      </x:c>
      <x:c r="H147" s="13" t="str">
        <x:v>C15-S08
공통 연결 뒤</x:v>
      </x:c>
      <x:c r="I147" s="13" t="str">
        <x:v>정답선지</x:v>
      </x:c>
      <x:c r="J147" s="13" t="str">
        <x:v>현재 공통 대사에서 532년 금관가야와 562년 대가야를 왕·정치체별로 명시한다. C12에서 이미 푼 원문 ②의 대가야 병합을 가야 관점에서 다시 확인하며 S08 뒤 한 번만 복습한다.</x:v>
      </x:c>
      <x:c r="K147" s="13" t="str">
        <x:v>—</x:v>
      </x:c>
      <x:c r="L147" s="13" t="str">
        <x:v>—</x:v>
      </x:c>
      <x:c r="M147" s="13" t="str">
        <x:v>원문에는 금관가야 편입을 직접 정답으로 묻는 문장이 없다. 금관가야 532년을 대가야 정답의 연도로 사용하지 않는다.</x:v>
      </x:c>
    </x:row>
    <x:row r="148" ht="53.25" customHeight="1">
      <x:c r="A148" s="15" t="str">
        <x:v>CH15</x:v>
      </x:c>
      <x:c r="B148" s="15" t="str">
        <x:v>THR-C15-S07</x:v>
      </x:c>
      <x:c r="C148" s="16" t="str">
        <x:v>성문을 나서는 가족</x:v>
      </x:c>
      <x:c r="D148" s="16" t="str">
        <x:v>562년 이사부가 이끄는 신라군의 대가야 공격과 피란 가족</x:v>
      </x:c>
      <x:c r="E148" s="32" t="str">
        <x:v>74회 심화 4번</x:v>
      </x:c>
      <x:c r="F148" s="33" t="n">
        <x:v>2</x:v>
      </x:c>
      <x:c r="G148" s="39" t="str">
        <x:v>관련복습</x:v>
      </x:c>
      <x:c r="H148" s="16" t="str">
        <x:v>C15-S08
공통 연결 뒤</x:v>
      </x:c>
      <x:c r="I148" s="16" t="str">
        <x:v>정답선지</x:v>
      </x:c>
      <x:c r="J148" s="16" t="str">
        <x:v>진흥왕의 군사와 562년 대가야의 위기라는 대사는 원문 정답 사건과 일치한다. C12와 같은 문항이므로 재사용을 복습으로 표시하고 가족의 피란이 끝나는 S08에 둔다.</x:v>
      </x:c>
      <x:c r="K148" s="16" t="str">
        <x:v>—</x:v>
      </x:c>
      <x:c r="L148" s="16" t="str">
        <x:v>—</x:v>
      </x:c>
      <x:c r="M148" s="16" t="str">
        <x:v>가족과 도구 중 무엇을 돕겠다고 말했는지는 역사 문제의 정답 조건이 아니다. 현재 정답 사건을 이미 학습한 후 다른 관점으로 보는 장면이다.</x:v>
      </x:c>
    </x:row>
    <x:row r="149" ht="53.25" customHeight="1">
      <x:c r="A149" s="10" t="str">
        <x:v>CH15</x:v>
      </x:c>
      <x:c r="B149" s="10" t="str">
        <x:v>THR-C15-S08</x:v>
      </x:c>
      <x:c r="C149" s="13" t="str">
        <x:v>정복 뒤에도 울리는 줄</x:v>
      </x:c>
      <x:c r="D149" s="13" t="str">
        <x:v>대가야 병합 이후에도 이어진 기술·음악·가족의 삶과 통일신라로의 복귀</x:v>
      </x:c>
      <x:c r="E149" s="34" t="str">
        <x:v>74회 심화 4번</x:v>
      </x:c>
      <x:c r="F149" s="35" t="n">
        <x:v>2</x:v>
      </x:c>
      <x:c r="G149" s="40" t="str">
        <x:v>관련복습</x:v>
      </x:c>
      <x:c r="H149" s="13" t="str">
        <x:v>C15-S08
공통 연결 뒤</x:v>
      </x:c>
      <x:c r="I149" s="13" t="str">
        <x:v>정답선지</x:v>
      </x:c>
      <x:c r="J149" s="13" t="str">
        <x:v>가야가 병합되어도 사람과 문화의 삶이 이어졌다는 장의 마무리에서 대가야 병합의 시기를 복습한다. S05~S07의 동일 연결과 합쳐 ② 사건을 한 번만 다시 확인한다.</x:v>
      </x:c>
      <x:c r="K149" s="13" t="str">
        <x:v>—</x:v>
      </x:c>
      <x:c r="L149" s="13" t="str">
        <x:v>—</x:v>
      </x:c>
      <x:c r="M149" s="13" t="str">
        <x:v>문화가 지속된다는 서사의 해석 자체를 기출 정답으로 바꾸지 않는다. C12S09에서 푼 문항의 두 번째 학습은 가야 관점의 복습이다.</x:v>
      </x:c>
    </x:row>
    <x:row r="150" ht="53.25" customHeight="1">
      <x:c r="A150" s="57" t="str">
        <x:v>CH16</x:v>
      </x:c>
      <x:c r="B150" s="52" t="str">
        <x:v>THR-C16-S01</x:v>
      </x:c>
      <x:c r="C150" s="53" t="str">
        <x:v>혼례 뒤의 반란</x:v>
      </x:c>
      <x:c r="D150" s="53" t="str">
        <x:v>681년 신문왕대 김흠돌의 난 진압과 혼인·귀족 권력의 갈등</x:v>
      </x:c>
      <x:c r="E150" s="54" t="str">
        <x:v>71회 심화 6번</x:v>
      </x:c>
      <x:c r="F150" s="55" t="n">
        <x:v>3</x:v>
      </x:c>
      <x:c r="G150" s="50" t="str">
        <x:v>선지학습</x:v>
      </x:c>
      <x:c r="H150" s="53" t="str">
        <x:v>C16-S02
공통 연결 뒤</x:v>
      </x:c>
      <x:c r="I150" s="53" t="str">
        <x:v>오답선지⑤</x:v>
      </x:c>
      <x:c r="J150" s="53" t="str">
        <x:v>원문 ⑤의 김흠돌의 난 진압은 현재 공통 대사의 신문왕대 사건이다. 지증왕의 업적을 묻는 원문에서는 오답이므로 S02까지 왕권 정비의 맥락을 보고 왕별 비교 복습을 한다.</x:v>
      </x:c>
      <x:c r="K150" s="53" t="str">
        <x:v>—</x:v>
      </x:c>
      <x:c r="L150" s="53" t="str">
        <x:v>—</x:v>
      </x:c>
      <x:c r="M150" s="53" t="str">
        <x:v>71회 심화 6번의 정답은 ③ 우산국 복속으로 유지한다. ⑤가 현재 장면의 올바른 역사 사실이라는 것과 원문 발문의 정답이라는 것을 구별한다.</x:v>
      </x:c>
    </x:row>
    <x:row r="151" ht="67.5" customHeight="1">
      <x:c r="A151" s="10" t="str">
        <x:v>CH16</x:v>
      </x:c>
      <x:c r="B151" s="10" t="str">
        <x:v>THR-C16-S02</x:v>
      </x:c>
      <x:c r="C151" s="13" t="str">
        <x:v>왕의 새 장부</x:v>
      </x:c>
      <x:c r="D151" s="13" t="str">
        <x:v>신문왕의 집사부·중시 중심 정무와 문무왕에게서 이어받은 동궁·월지</x:v>
      </x:c>
      <x:c r="E151" s="34" t="str">
        <x:v>76회 심화 6번</x:v>
      </x:c>
      <x:c r="F151" s="35" t="n">
        <x:v>2</x:v>
      </x:c>
      <x:c r="G151" s="40" t="str">
        <x:v>서사연결</x:v>
      </x:c>
      <x:c r="H151" s="13" t="str">
        <x:v>C16-S08
공통 연결 뒤</x:v>
      </x:c>
      <x:c r="I151" s="13" t="str">
        <x:v>자료</x:v>
      </x:c>
      <x:c r="J151" s="13" t="str">
        <x:v>귀족의 사적 세력을 줄이고 왕 중심 정무를 강화하려는 발언을 이후 국학·9주·군제·토지 정책으로 이어 준다. 원문이 요구하는 제도들을 모두 본 S08에서 신문왕의 개혁을 종합한다.</x:v>
      </x:c>
      <x:c r="K151" s="13" t="str">
        <x:v>—</x:v>
      </x:c>
      <x:c r="L151" s="13" t="str">
        <x:v>—</x:v>
      </x:c>
      <x:c r="M151" s="13" t="str">
        <x:v>집사부 중시의 위상과 동궁·월지를 직접 묻는 검증 문항은 없다. 문무왕의 연못·동궁 조성을 신문왕의 창건으로 바꾸지 않는다.</x:v>
      </x:c>
    </x:row>
    <x:row r="152" ht="67.5" customHeight="1">
      <x:c r="A152" s="15" t="str">
        <x:v>CH16</x:v>
      </x:c>
      <x:c r="B152" s="15" t="str">
        <x:v>THR-C16-S03</x:v>
      </x:c>
      <x:c r="C152" s="16" t="str">
        <x:v>국학의 자리</x:v>
      </x:c>
      <x:c r="D152" s="16" t="str">
        <x:v>신문왕의 국학 설치와 유교 교육, 감은사 완성·설총 화왕계·만파식적 전승</x:v>
      </x:c>
      <x:c r="E152" s="32" t="str">
        <x:v>75회 기본 6번</x:v>
      </x:c>
      <x:c r="F152" s="33" t="n">
        <x:v>3</x:v>
      </x:c>
      <x:c r="G152" s="49" t="str">
        <x:v>직접</x:v>
      </x:c>
      <x:c r="H152" s="16" t="str">
        <x:v>C16-S03
공통 연결 뒤</x:v>
      </x:c>
      <x:c r="I152" s="16" t="str">
        <x:v>정답선지</x:v>
      </x:c>
      <x:c r="J152" s="16" t="str">
        <x:v>국학에서 유교 경전을 가르치고 관리를 기른다는 공통 대사는 원문 정답 ③ 국학과 일치한다. 앞서 익힌 골품제와 연결해 자료의 국가를 신라로 식별한다.</x:v>
      </x:c>
      <x:c r="K152" s="16" t="str">
        <x:v>1. 74회 심화 6번 · ⑤
직접 · 자료
→ C16-S04 공통 연결 뒤</x:v>
      </x:c>
      <x:c r="L152" s="16" t="str">
        <x:v>—</x:v>
      </x:c>
      <x:c r="M152" s="16" t="str">
        <x:v>75회 기본 6번의 자료에는 후대 흥덕왕 복식 규정이 있으나 묻는 대상은 국가이며 국학 설치자는 신문왕이다. 화왕계·만파식적과 국학 교원 세부 구성을 직접 배웠다는 범위로 확대하지 않는다.</x:v>
      </x:c>
    </x:row>
    <x:row r="153" ht="53.25" customHeight="1">
      <x:c r="A153" s="10" t="str">
        <x:v>CH16</x:v>
      </x:c>
      <x:c r="B153" s="10" t="str">
        <x:v>THR-C16-S04</x:v>
      </x:c>
      <x:c r="C153" s="13" t="str">
        <x:v>아홉 주의 이름</x:v>
      </x:c>
      <x:c r="D153" s="13" t="str">
        <x:v>9주 체계와 문무왕의 외사정·상수리, 지방 통치와 감찰의 차이</x:v>
      </x:c>
      <x:c r="E153" s="34" t="str">
        <x:v>74회 심화 6번</x:v>
      </x:c>
      <x:c r="F153" s="35" t="n">
        <x:v>5</x:v>
      </x:c>
      <x:c r="G153" s="49" t="str">
        <x:v>직접</x:v>
      </x:c>
      <x:c r="H153" s="13" t="str">
        <x:v>C16-S04
공통 연결 뒤</x:v>
      </x:c>
      <x:c r="I153" s="13" t="str">
        <x:v>정답선지</x:v>
      </x:c>
      <x:c r="J153" s="13" t="str">
        <x:v>공통 대사에서 문무왕이 지방관 감찰을 위해 외사정을 두었다고 명시한다. S03의 감은사 자료와 결합해 원문 ⑤를 고를 수 있다.</x:v>
      </x:c>
      <x:c r="K153" s="13" t="str">
        <x:v>1. 76회 심화 6번 · ②
직접 · 자료
→ C16-S08 공통 연결 뒤</x:v>
      </x:c>
      <x:c r="L153" s="13" t="str">
        <x:v>—</x:v>
      </x:c>
      <x:c r="M153" s="13" t="str">
        <x:v>상수리와 외사정은 역할·이동 방향이 다르다. 외사정이 9주 정비와 같은 해에 처음 설치되었다고 합치지 않는다.</x:v>
      </x:c>
    </x:row>
    <x:row r="154" ht="53.25" customHeight="1">
      <x:c r="A154" s="15" t="str">
        <x:v>CH16</x:v>
      </x:c>
      <x:c r="B154" s="15" t="str">
        <x:v>THR-C16-S05</x:v>
      </x:c>
      <x:c r="C154" s="16" t="str">
        <x:v>다섯 작은 수도</x:v>
      </x:c>
      <x:c r="D154" s="16" t="str">
        <x:v>5소경을 통한 지방 통치 보완과 이주민의 생활</x:v>
      </x:c>
      <x:c r="E154" s="32" t="str">
        <x:v>76회 심화 6번</x:v>
      </x:c>
      <x:c r="F154" s="33" t="n">
        <x:v>2</x:v>
      </x:c>
      <x:c r="G154" s="39" t="str">
        <x:v>관련복습</x:v>
      </x:c>
      <x:c r="H154" s="16" t="str">
        <x:v>C16-S08
공통 연결 뒤</x:v>
      </x:c>
      <x:c r="I154" s="16" t="str">
        <x:v>자료</x:v>
      </x:c>
      <x:c r="J154" s="16" t="str">
        <x:v>앞 장면의 9주와 현재 5소경을 통일신라 지방 통치라는 맥락으로 연결한다. 원문에는 9주 정비가 직접 제시되며 정답의 토지 개혁은 S08까지 배우고 푼다.</x:v>
      </x:c>
      <x:c r="K154" s="16" t="str">
        <x:v>—</x:v>
      </x:c>
      <x:c r="L154" s="16" t="str">
        <x:v>—</x:v>
      </x:c>
      <x:c r="M154" s="16" t="str">
        <x:v>5소경의 설치 목적을 직접 묻는 검증 문항은 없다. 원문에 9주가 등장한다는 이유로 5소경도 직접 출제되었다고 소개하지 않는다.</x:v>
      </x:c>
    </x:row>
    <x:row r="155" ht="53.25" customHeight="1">
      <x:c r="A155" s="10" t="str">
        <x:v>CH16</x:v>
      </x:c>
      <x:c r="B155" s="10" t="str">
        <x:v>THR-C16-S06</x:v>
      </x:c>
      <x:c r="C155" s="13" t="str">
        <x:v>함께 선 다른 군복</x:v>
      </x:c>
      <x:c r="D155" s="13" t="str">
        <x:v>신라·고구려·보덕국·백제·말갈계 9서당과 지방군 10정의 구별</x:v>
      </x:c>
      <x:c r="E155" s="34" t="str">
        <x:v>76회 심화 6번</x:v>
      </x:c>
      <x:c r="F155" s="35" t="n">
        <x:v>2</x:v>
      </x:c>
      <x:c r="G155" s="49" t="str">
        <x:v>직접</x:v>
      </x:c>
      <x:c r="H155" s="13" t="str">
        <x:v>C16-S08
공통 연결 뒤</x:v>
      </x:c>
      <x:c r="I155" s="13" t="str">
        <x:v>자료</x:v>
      </x:c>
      <x:c r="J155" s="13" t="str">
        <x:v>고구려·백제·말갈인을 포함해 군대를 구성했다는 원문 자료가 현재 여러 계통의 9서당 대사와 직접 연결된다. 국학·9주와 묶어 S08의 신문왕 토지 개혁 뒤에 풀도록 한다.</x:v>
      </x:c>
      <x:c r="K155" s="13" t="str">
        <x:v>—</x:v>
      </x:c>
      <x:c r="L155" s="13" t="str">
        <x:v>—</x:v>
      </x:c>
      <x:c r="M155" s="13" t="str">
        <x:v>원문은 9서당의 모든 금색 이름이나 10정의 주별 배치를 암기해 고르는 문제가 아니다. 보덕국과 다른 고구려계 편성을 같은 이름으로 합치지 않는다.</x:v>
      </x:c>
    </x:row>
    <x:row r="156" ht="53.25" customHeight="1">
      <x:c r="A156" s="15" t="str">
        <x:v>CH16</x:v>
      </x:c>
      <x:c r="B156" s="15" t="str">
        <x:v>THR-C16-S07</x:v>
      </x:c>
      <x:c r="C156" s="16" t="str">
        <x:v>관료전의 경계</x:v>
      </x:c>
      <x:c r="D156" s="16" t="str">
        <x:v>687년 관료전 지급과 수조권·노동력 지배의 구별</x:v>
      </x:c>
      <x:c r="E156" s="32" t="str">
        <x:v>76회 심화 6번</x:v>
      </x:c>
      <x:c r="F156" s="33" t="n">
        <x:v>2</x:v>
      </x:c>
      <x:c r="G156" s="49" t="str">
        <x:v>직접</x:v>
      </x:c>
      <x:c r="H156" s="16" t="str">
        <x:v>C16-S08
공통 연결 뒤</x:v>
      </x:c>
      <x:c r="I156" s="16" t="str">
        <x:v>정답선지</x:v>
      </x:c>
      <x:c r="J156" s="16" t="str">
        <x:v>원문 정답의 관료전 지급을 현재 공통 대사에서 배운다. 정답 문장에는 녹읍 폐지가 함께 있으므로 S08까지 확인한 뒤 전체 문장을 선택한다.</x:v>
      </x:c>
      <x:c r="K156" s="16" t="str">
        <x:v>—</x:v>
      </x:c>
      <x:c r="L156" s="16" t="str">
        <x:v>—</x:v>
      </x:c>
      <x:c r="M156" s="16" t="str">
        <x:v>관료전을 모든 농민에게 새 소유지를 균등 분배한 제도로 바꾸지 않는다. 정답의 두 조치가 같은 해에 시행되었다고 단정하지 않는다.</x:v>
      </x:c>
    </x:row>
    <x:row r="157" ht="53.25" customHeight="1">
      <x:c r="A157" s="10" t="str">
        <x:v>CH16</x:v>
      </x:c>
      <x:c r="B157" s="10" t="str">
        <x:v>THR-C16-S08</x:v>
      </x:c>
      <x:c r="C157" s="13" t="str">
        <x:v>사라진 녹읍의 주인</x:v>
      </x:c>
      <x:c r="D157" s="13" t="str">
        <x:v>689년 녹읍 폐지와 687년 관료전 지급의 차이, 귀족 경제 기반 약화</x:v>
      </x:c>
      <x:c r="E157" s="34" t="str">
        <x:v>76회 심화 6번</x:v>
      </x:c>
      <x:c r="F157" s="35" t="n">
        <x:v>2</x:v>
      </x:c>
      <x:c r="G157" s="49" t="str">
        <x:v>직접</x:v>
      </x:c>
      <x:c r="H157" s="13" t="str">
        <x:v>C16-S08
공통 연결 뒤</x:v>
      </x:c>
      <x:c r="I157" s="13" t="str">
        <x:v>정답선지</x:v>
      </x:c>
      <x:c r="J157" s="13" t="str">
        <x:v>관료전 687년과 녹읍 폐지 689년을 공통 대사로 구별한다. 국학·9주·통합 군제까지 누적 학습했으므로 원문 ②의 두 조치를 신문왕의 정책으로 선택할 수 있다.</x:v>
      </x:c>
      <x:c r="K157" s="13" t="str">
        <x:v>—</x:v>
      </x:c>
      <x:c r="L157" s="13" t="str">
        <x:v>—</x:v>
      </x:c>
      <x:c r="M157" s="13" t="str">
        <x:v>C13S05 및 C16S02~S08에서 연결한 동일 문항은 여기서 한 번만 출제한다. 녹읍 폐지를 농민의 모든 조세·역 부담 폐지로 확대하지 않는다.</x:v>
      </x:c>
    </x:row>
    <x:row r="158" ht="67.5" customHeight="1">
      <x:c r="A158" s="15" t="str">
        <x:v>CH16</x:v>
      </x:c>
      <x:c r="B158" s="15" t="str">
        <x:v>THR-C16-S09</x:v>
      </x:c>
      <x:c r="C158" s="16" t="str">
        <x:v>정전의 한 줄</x:v>
      </x:c>
      <x:c r="D158" s="16" t="str">
        <x:v>성덕왕의 정전 지급 기록과 결부, 서원경 부근 네 촌락의 민정문서</x:v>
      </x:c>
      <x:c r="E158" s="32" t="str">
        <x:v>66회 심화 6번</x:v>
      </x:c>
      <x:c r="F158" s="33" t="n">
        <x:v>5</x:v>
      </x:c>
      <x:c r="G158" s="49" t="str">
        <x:v>직접</x:v>
      </x:c>
      <x:c r="H158" s="16" t="str">
        <x:v>C18-S03
공통 연결 뒤</x:v>
      </x:c>
      <x:c r="I158" s="16" t="str">
        <x:v>정답선지</x:v>
      </x:c>
      <x:c r="J158" s="16" t="str">
        <x:v>세 해 사이 호구 변화와 토지·가축·수목을 조세·노동력 파악에 사용했다는 대사가 원문 ⑤ 촌락 문서와 연결된다. 다만 지도의 청해진·법화원·항로를 이해해야 하므로 C18S03 뒤에 출제한다.</x:v>
      </x:c>
      <x:c r="K158" s="16" t="str">
        <x:v>1. 76회 심화 5번 · ④
직접 · 자료
→ C18-S03 공통 연결 뒤</x:v>
      </x:c>
      <x:c r="L158" s="16" t="str">
        <x:v>—</x:v>
      </x:c>
      <x:c r="M158" s="16" t="str">
        <x:v>촌락문서의 정확한 작성연대는 유보하며 722년 정전 지급 문서와 동일시하지 않는다. 원문의 3년 주기 표현을 사용하되 모든 현존 기록의 확정 작성연도를 새로 단정하지 않는다.</x:v>
      </x:c>
    </x:row>
    <x:row r="159" ht="53.25" customHeight="1">
      <x:c r="A159" s="10" t="str">
        <x:v>CH16</x:v>
      </x:c>
      <x:c r="B159" s="10" t="str">
        <x:v>THR-C16-S10</x:v>
      </x:c>
      <x:c r="C159" s="13" t="str">
        <x:v>다시 돌아온 녹읍</x:v>
      </x:c>
      <x:c r="D159" s="13" t="str">
        <x:v>경덕왕의 녹읍 부활·지명·관직 개정과 촌락문서 토지·호등 해석</x:v>
      </x:c>
      <x:c r="E159" s="34" t="str">
        <x:v>76회 심화 6번</x:v>
      </x:c>
      <x:c r="F159" s="35" t="n">
        <x:v>2</x:v>
      </x:c>
      <x:c r="G159" s="40" t="str">
        <x:v>관련복습</x:v>
      </x:c>
      <x:c r="H159" s="13" t="str">
        <x:v>C16-S10
공통 연결 뒤</x:v>
      </x:c>
      <x:c r="I159" s="13" t="str">
        <x:v>정답선지</x:v>
      </x:c>
      <x:c r="J159" s="13" t="str">
        <x:v>현재 대사의 757년 녹읍 부활을 앞서 신문왕의 689년 폐지와 비교한다. 같은 기출의 정답 문장은 신문왕의 폐지를 묻는다는 점을 확인하는 복습으로 사용한다.</x:v>
      </x:c>
      <x:c r="K159" s="13" t="str">
        <x:v>1. 66회 심화 6번 · ⑤
관련복습 · 정답선지
→ C18-S03 공통 연결 뒤</x:v>
      </x:c>
      <x:c r="L159" s="13" t="str">
        <x:v>—</x:v>
      </x:c>
      <x:c r="M159" s="13" t="str">
        <x:v>녹읍 부활·747년 중시→시중·757년 지명·759년 관직 개정·호등 해석의 쟁점을 각각 직접 묻는 검증 문항은 없다. 76회 심화 6번은 새 사실 출제가 아닌 폐지와 부활의 왕대 비교 복습이다.</x:v>
      </x:c>
    </x:row>
    <x:row r="160" ht="53.25" customHeight="1">
      <x:c r="A160" s="57" t="str">
        <x:v>CH17</x:v>
      </x:c>
      <x:c r="B160" s="52" t="str">
        <x:v>THR-C17-S01</x:v>
      </x:c>
      <x:c r="C160" s="53" t="str">
        <x:v>누구의 경전이 옳은가</x:v>
      </x:c>
      <x:c r="D160" s="53" t="str">
        <x:v>원효의 일심·화쟁: 경전의 대립과 이웃의 걱정을 함께 듣는다.</x:v>
      </x:c>
      <x:c r="E160" s="54" t="str">
        <x:v>61회 심화 5번</x:v>
      </x:c>
      <x:c r="F160" s="55" t="n">
        <x:v>1</x:v>
      </x:c>
      <x:c r="G160" s="51" t="str">
        <x:v>직접</x:v>
      </x:c>
      <x:c r="H160" s="53" t="str">
        <x:v>C17-S02
공통 연결 뒤</x:v>
      </x:c>
      <x:c r="I160" s="53" t="str">
        <x:v>정답선지①</x:v>
      </x:c>
      <x:c r="J160" s="53" t="str">
        <x:v>원효가 직접 일심을 설명하고 서아가 화쟁의 뜻을 확인한다. 원문은 저술·무애가·정토 신앙으로 원효를 식별해야 하므로 그 단서까지 등장하는 다음 씬을 마친 뒤 푼다.</x:v>
      </x:c>
      <x:c r="K160" s="53" t="str">
        <x:v>—</x:v>
      </x:c>
      <x:c r="L160" s="53" t="str">
        <x:v>—</x:v>
      </x:c>
      <x:c r="M160" s="53" t="str">
        <x:v>선택 직후에는 이웃의 응답과 합류 대사를 끝까지 보여 준다. CH17S02와 같은 문항·같은 풀이 지점으로 합쳐 한 번 출제한다.</x:v>
      </x:c>
    </x:row>
    <x:row r="161" ht="53.25" customHeight="1">
      <x:c r="A161" s="10" t="str">
        <x:v>CH17</x:v>
      </x:c>
      <x:c r="B161" s="10" t="str">
        <x:v>THR-C17-S02</x:v>
      </x:c>
      <x:c r="C161" s="13" t="str">
        <x:v>모두를 위한 노래</x:v>
      </x:c>
      <x:c r="D161" s="13" t="str">
        <x:v>원효의 무애가·아미타 신앙·불교 대중화와 대승기신론소·십문화쟁론.</x:v>
      </x:c>
      <x:c r="E161" s="34" t="str">
        <x:v>61회 심화 5번</x:v>
      </x:c>
      <x:c r="F161" s="35" t="n">
        <x:v>1</x:v>
      </x:c>
      <x:c r="G161" s="49" t="str">
        <x:v>직접</x:v>
      </x:c>
      <x:c r="H161" s="13" t="str">
        <x:v>C17-S02
공통 연결 뒤</x:v>
      </x:c>
      <x:c r="I161" s="13" t="str">
        <x:v>자료·정답선지①</x:v>
      </x:c>
      <x:c r="J161" s="13" t="str">
        <x:v>이전 씬의 일심·화쟁에 이번 씬의 금강삼매경론·대승기신론소·무애가·아미타 신앙이 더해져 원문 인물 식별과 정답 판단의 근거가 갖추어진다.</x:v>
      </x:c>
      <x:c r="K161" s="13" t="str">
        <x:v>1. 69회 기본 7번 · ④
직접 · 자료·정답선지④
→ C17-S02 공통 연결 뒤</x:v>
      </x:c>
      <x:c r="L161" s="13" t="str">
        <x:v>—</x:v>
      </x:c>
      <x:c r="M161" s="13" t="str">
        <x:v>첫 연결이 대표이고 기본 7번은 선택 복습 후보다. 원융회통이라는 용어 전체를 별도로 출제하는 문항인 것처럼 표시하지 않는다.</x:v>
      </x:c>
    </x:row>
    <x:row r="162" ht="53.25" customHeight="1">
      <x:c r="A162" s="15" t="str">
        <x:v>CH17</x:v>
      </x:c>
      <x:c r="B162" s="15" t="str">
        <x:v>THR-C17-S03</x:v>
      </x:c>
      <x:c r="C162" s="16" t="str">
        <x:v>하나로 이어진 잎</x:v>
      </x:c>
      <x:c r="D162" s="16" t="str">
        <x:v>의상의 화엄 사상·화엄일승법계도·관음 신앙·부석사와 원효의 구별.</x:v>
      </x:c>
      <x:c r="E162" s="32" t="str">
        <x:v>73회 기본 4번</x:v>
      </x:c>
      <x:c r="F162" s="33" t="n">
        <x:v>3</x:v>
      </x:c>
      <x:c r="G162" s="49" t="str">
        <x:v>직접</x:v>
      </x:c>
      <x:c r="H162" s="16" t="str">
        <x:v>C17-S03
공통 연결 뒤</x:v>
      </x:c>
      <x:c r="I162" s="16" t="str">
        <x:v>자료·정답선지③</x:v>
      </x:c>
      <x:c r="J162" s="16" t="str">
        <x:v>부석사에서 의상이 화엄과 관음의 자비를 설명한다. 원문에 제시되는 화엄종·부석사·관음 신앙으로 의상을 식별할 수 있다.</x:v>
      </x:c>
      <x:c r="K162" s="16" t="str">
        <x:v>1. 76회 심화 7번 · ④
직접 · 자료·정답선지④
→ C17-S03 공통 연결 뒤</x:v>
      </x:c>
      <x:c r="L162" s="16" t="str">
        <x:v>—</x:v>
      </x:c>
      <x:c r="M162" s="16" t="str">
        <x:v>5교의 다섯 계통 전체를 검증하는 문항은 아니다. 현대 주석에 들어간 5교는 저술·인물 구별의 확장 학습으로 남긴다.</x:v>
      </x:c>
    </x:row>
    <x:row r="163" ht="53.25" customHeight="1">
      <x:c r="A163" s="10" t="str">
        <x:v>CH17</x:v>
      </x:c>
      <x:c r="B163" s="10" t="str">
        <x:v>THR-C17-S04</x:v>
      </x:c>
      <x:c r="C163" s="13" t="str">
        <x:v>돌을 옮기는 어깨</x:v>
      </x:c>
      <x:c r="D163" s="13" t="str">
        <x:v>751년 김대성의 불국사 조성과 석공 해명의 노동.</x:v>
      </x:c>
      <x:c r="E163" s="34" t="str">
        <x:v>61회 기본 8번</x:v>
      </x:c>
      <x:c r="F163" s="35" t="n">
        <x:v>1</x:v>
      </x:c>
      <x:c r="G163" s="40" t="str">
        <x:v>서사연결</x:v>
      </x:c>
      <x:c r="H163" s="13" t="str">
        <x:v>C17-S05
공통 연결 뒤</x:v>
      </x:c>
      <x:c r="I163" s="13" t="str">
        <x:v>자료</x:v>
      </x:c>
      <x:c r="J163" s="13" t="str">
        <x:v>김대성과 불국사 조성이라는 원문 자료의 단서를 먼저 만난다. 정답인 불국사 삼층석탑의 실제 형태는 다음 씬에서 두 탑을 비교한 뒤 확인한다.</x:v>
      </x:c>
      <x:c r="K163" s="13" t="str">
        <x:v>—</x:v>
      </x:c>
      <x:c r="L163" s="13" t="str">
        <x:v>—</x:v>
      </x:c>
      <x:c r="M163" s="13" t="str">
        <x:v>상처를 돌보는 분기 중에는 퀴즈를 끼우지 않는다. 다음 씬의 유물 관찰 뒤 같은 문항을 한 번 출제한다.</x:v>
      </x:c>
    </x:row>
    <x:row r="164" ht="53.25" customHeight="1">
      <x:c r="A164" s="15" t="str">
        <x:v>CH17</x:v>
      </x:c>
      <x:c r="B164" s="15" t="str">
        <x:v>THR-C17-S05</x:v>
      </x:c>
      <x:c r="C164" s="16" t="str">
        <x:v>두 탑의 다른 그림자</x:v>
      </x:c>
      <x:c r="D164" s="16" t="str">
        <x:v>불국사 삼층석탑(석가탑)과 다보탑을 구별하고 무구정광대다라니경의 발견을 분리해 읽는다.</x:v>
      </x:c>
      <x:c r="E164" s="32" t="str">
        <x:v>61회 기본 8번</x:v>
      </x:c>
      <x:c r="F164" s="33" t="n">
        <x:v>1</x:v>
      </x:c>
      <x:c r="G164" s="49" t="str">
        <x:v>직접</x:v>
      </x:c>
      <x:c r="H164" s="16" t="str">
        <x:v>C17-S05
공통 연결 뒤</x:v>
      </x:c>
      <x:c r="I164" s="16" t="str">
        <x:v>자료·정답선지①</x:v>
      </x:c>
      <x:c r="J164" s="16" t="str">
        <x:v>김대성의 불국사 조성 맥락과 삼층석탑의 단정한 형태를 모두 배웠다. 원문 이미지 ①의 불국사 삼층석탑을 고르는 데 직접 연결된다.</x:v>
      </x:c>
      <x:c r="K164" s="16" t="str">
        <x:v>1. 79회 심화 6번 · ①
선지학습 · 오답선지②
→ C17-S05 공통 연결 뒤</x:v>
      </x:c>
      <x:c r="L164" s="16" t="str">
        <x:v>—</x:v>
      </x:c>
      <x:c r="M164" s="16" t="str">
        <x:v>무구정광대다라니경의 1966년 발견이나 최고(最古) 목판 인쇄본이라는 특징을 이 두 문항이 직접 묻는다고 표시하지 않는다. 사진 선지를 텍스트 답안으로 교체하지 않는다.</x:v>
      </x:c>
    </x:row>
    <x:row r="165" ht="53.25" customHeight="1">
      <x:c r="A165" s="10" t="str">
        <x:v>CH17</x:v>
      </x:c>
      <x:c r="B165" s="10" t="str">
        <x:v>THR-C17-S06</x:v>
      </x:c>
      <x:c r="C165" s="13" t="str">
        <x:v>바위 속의 얼굴</x:v>
      </x:c>
      <x:c r="D165" s="13" t="str">
        <x:v>석굴암은 돌을 짜 맞춘 인공 석굴이며 본존불과 둘레 조각을 함께 본다.</x:v>
      </x:c>
      <x:c r="E165" s="34" t="str">
        <x:v>67회 기본 9번</x:v>
      </x:c>
      <x:c r="F165" s="35" t="n">
        <x:v>1</x:v>
      </x:c>
      <x:c r="G165" s="49" t="str">
        <x:v>직접</x:v>
      </x:c>
      <x:c r="H165" s="13" t="str">
        <x:v>C17-S06
공통 연결 뒤</x:v>
      </x:c>
      <x:c r="I165" s="13" t="str">
        <x:v>자료·정답선지①</x:v>
      </x:c>
      <x:c r="J165" s="13" t="str">
        <x:v>석굴암을 자연 동굴과 구별하고 본존불을 관찰한 직후다. 원문은 화강암 인공 석굴이라는 설명에 맞는 본존불 사진을 고르게 한다.</x:v>
      </x:c>
      <x:c r="K165" s="13" t="str">
        <x:v>—</x:v>
      </x:c>
      <x:c r="L165" s="13" t="str">
        <x:v>—</x:v>
      </x:c>
      <x:c r="M165" s="13" t="str">
        <x:v>실제 정답 사진을 보여 주는 이미지 문항이다. 배경 일러스트만으로 유물 사진을 대신하지 않는다.</x:v>
      </x:c>
    </x:row>
    <x:row r="166" ht="53.25" customHeight="1">
      <x:c r="A166" s="15" t="str">
        <x:v>CH17</x:v>
      </x:c>
      <x:c r="B166" s="15" t="str">
        <x:v>THR-C17-S07</x:v>
      </x:c>
      <x:c r="C166" s="16" t="str">
        <x:v>돌아오지 않은 여행자</x:v>
      </x:c>
      <x:c r="D166" s="16" t="str">
        <x:v>혜초의 왕오천축국전과 인도·중앙아시아 구법 여행, 당으로 돌아온 기록.</x:v>
      </x:c>
      <x:c r="E166" s="32" t="str">
        <x:v>61회 심화 5번</x:v>
      </x:c>
      <x:c r="F166" s="33" t="n">
        <x:v>1</x:v>
      </x:c>
      <x:c r="G166" s="48" t="str">
        <x:v>선지학습</x:v>
      </x:c>
      <x:c r="H166" s="16" t="str">
        <x:v>C17-S07
공통 연결 뒤</x:v>
      </x:c>
      <x:c r="I166" s="16" t="str">
        <x:v>오답선지②</x:v>
      </x:c>
      <x:c r="J166" s="16" t="str">
        <x:v>원문 ②의 왕오천축국전은 혜초의 저술이다. 원문이 묻는 인물은 원효이므로 정답 ①을 유지하면서 두 승려를 구별하는 복습으로 연결한다.</x:v>
      </x:c>
      <x:c r="K166" s="16" t="str">
        <x:v>—</x:v>
      </x:c>
      <x:c r="L166" s="16" t="str">
        <x:v>—</x:v>
      </x:c>
      <x:c r="M166" s="16" t="str">
        <x:v>이 문항을 혜초를 고르는 독립 문제로 재작성하지 않는다. 원문 정답의 일심·화쟁과 원효의 자료 단서는 CH17S01~02에서 이미 배웠다.</x:v>
      </x:c>
    </x:row>
    <x:row r="167" ht="67.5" customHeight="1">
      <x:c r="A167" s="10" t="str">
        <x:v>CH17</x:v>
      </x:c>
      <x:c r="B167" s="10" t="str">
        <x:v>THR-C17-S08</x:v>
      </x:c>
      <x:c r="C167" s="13" t="str">
        <x:v>종소리에 남은 노동</x:v>
      </x:c>
      <x:c r="D167" s="13" t="str">
        <x:v>성덕대왕신종과 상원사 동종의 제작 연대·크기, 전설과 제작 기록의 구별.</x:v>
      </x:c>
      <x:c r="E167" s="34" t="str">
        <x:v>61회 기본 8번</x:v>
      </x:c>
      <x:c r="F167" s="35" t="n">
        <x:v>1</x:v>
      </x:c>
      <x:c r="G167" s="48" t="str">
        <x:v>선지학습</x:v>
      </x:c>
      <x:c r="H167" s="13" t="str">
        <x:v>C17-S08
공통 연결 뒤</x:v>
      </x:c>
      <x:c r="I167" s="13" t="str">
        <x:v>오답선지④</x:v>
      </x:c>
      <x:c r="J167" s="13" t="str">
        <x:v>실제 원문 사진 ④에는 성덕대왕신종이 제시된다. 불국사에서 볼 문화유산을 묻는 문제의 정답은 삼층석탑 ①이며, 성덕대왕신종과 불국사 석탑의 종류·장소를 구별하는 복습이다.</x:v>
      </x:c>
      <x:c r="K167" s="13" t="str">
        <x:v>—</x:v>
      </x:c>
      <x:c r="L167" s="13" t="str">
        <x:v>—</x:v>
      </x:c>
      <x:c r="M167" s="13" t="str">
        <x:v>원문 이미지를 추가 확인해 선지 ④의 유물명을 검증했다. 상원사 동종의 연대나 에밀레 전설 자체를 묻는 기출은 현재 연결에 없다.</x:v>
      </x:c>
    </x:row>
    <x:row r="168" ht="53.25" customHeight="1">
      <x:c r="A168" s="15" t="str">
        <x:v>CH17</x:v>
      </x:c>
      <x:c r="B168" s="15" t="str">
        <x:v>THR-C17-S09</x:v>
      </x:c>
      <x:c r="C168" s="16" t="str">
        <x:v>바다로 이어진 기도</x:v>
      </x:c>
      <x:c r="D168" s="16" t="str">
        <x:v>경전·사람·물건이 함께 건너는 바닷길에서 장보고와 청해진으로 이어진다.</x:v>
      </x:c>
      <x:c r="E168" s="32" t="str">
        <x:v>75회 기본 8번</x:v>
      </x:c>
      <x:c r="F168" s="33" t="n">
        <x:v>4</x:v>
      </x:c>
      <x:c r="G168" s="39" t="str">
        <x:v>서사연결</x:v>
      </x:c>
      <x:c r="H168" s="16" t="str">
        <x:v>C18-S03
공통 연결 뒤</x:v>
      </x:c>
      <x:c r="I168" s="16" t="str">
        <x:v>자료·정답선지④</x:v>
      </x:c>
      <x:c r="J168" s="16" t="str">
        <x:v>경전 운송과 항구의 안전 문제는 장보고의 법화원·해상 활동을 살펴볼 도입이다. 청해진 설치와 당·일본 교류가 확인되는 CH18S03 뒤에 전체 문항을 푼다.</x:v>
      </x:c>
      <x:c r="K168" s="16" t="str">
        <x:v>—</x:v>
      </x:c>
      <x:c r="L168" s="16" t="str">
        <x:v>—</x:v>
      </x:c>
      <x:c r="M168" s="16" t="str">
        <x:v>828년의 소식만으로 청해진의 후속 활동을 이미 모두 배운 것으로 처리하지 않는다. CH18 도입의 동일 연결과 합쳐 한 번 출제한다.</x:v>
      </x:c>
    </x:row>
    <x:row r="169" ht="53.25" customHeight="1">
      <x:c r="A169" s="47" t="str">
        <x:v>CH18</x:v>
      </x:c>
      <x:c r="B169" s="42" t="str">
        <x:v>THR-C18-S01</x:v>
      </x:c>
      <x:c r="C169" s="43" t="str">
        <x:v>항구의 사라진 아이</x:v>
      </x:c>
      <x:c r="D169" s="43" t="str">
        <x:v>실종된 도경을 찾는 가족과 해상 인신매매 문제, 청해진 설치의 생활 배경.</x:v>
      </x:c>
      <x:c r="E169" s="44" t="str">
        <x:v>75회 기본 8번</x:v>
      </x:c>
      <x:c r="F169" s="45" t="n">
        <x:v>4</x:v>
      </x:c>
      <x:c r="G169" s="46" t="str">
        <x:v>서사연결</x:v>
      </x:c>
      <x:c r="H169" s="43" t="str">
        <x:v>C18-S03
공통 연결 뒤</x:v>
      </x:c>
      <x:c r="I169" s="43" t="str">
        <x:v>자료·정답선지④</x:v>
      </x:c>
      <x:c r="J169" s="43" t="str">
        <x:v>항구 주민이 장보고와 신라인이 팔리는 문제를 말한다. 본 씬은 가족의 탐색을 진행하고, 장보고의 청해진·법화원·교류망을 배운 CH18S03 뒤에 기출을 연결한다.</x:v>
      </x:c>
      <x:c r="K169" s="43" t="str">
        <x:v>—</x:v>
      </x:c>
      <x:c r="L169" s="43" t="str">
        <x:v>—</x:v>
      </x:c>
      <x:c r="M169" s="43" t="str">
        <x:v>나래를 돕는 대사 선택은 역사 지식의 정오 평가 대상이 아니다. 실종 가족 사례를 청해진 설치의 유일한 원인으로 일반화하지 않는다.</x:v>
      </x:c>
    </x:row>
    <x:row r="170" ht="67.5" customHeight="1">
      <x:c r="A170" s="15" t="str">
        <x:v>CH18</x:v>
      </x:c>
      <x:c r="B170" s="15" t="str">
        <x:v>THR-C18-S02</x:v>
      </x:c>
      <x:c r="C170" s="16" t="str">
        <x:v>청해진을 청하다</x:v>
      </x:c>
      <x:c r="D170" s="16" t="str">
        <x:v>828년 흥덕왕 때 장보고의 청해진 설치와 항로 보호.</x:v>
      </x:c>
      <x:c r="E170" s="32" t="str">
        <x:v>76회 심화 5번</x:v>
      </x:c>
      <x:c r="F170" s="33" t="n">
        <x:v>4</x:v>
      </x:c>
      <x:c r="G170" s="49" t="str">
        <x:v>직접</x:v>
      </x:c>
      <x:c r="H170" s="16" t="str">
        <x:v>C18-S03
공통 연결 뒤</x:v>
      </x:c>
      <x:c r="I170" s="16" t="str">
        <x:v>정답선지④</x:v>
      </x:c>
      <x:c r="J170" s="16" t="str">
        <x:v>이번 씬은 청해진과 장보고의 군사·교역 기반을 다룬다. 자료의 신라 촌락 문서는 CH16S09~10에서 배웠으므로 다음 씬의 교역망 관찰 뒤 두 경제 주제를 같은 국가로 연결할 수 있다.</x:v>
      </x:c>
      <x:c r="K170" s="16" t="str">
        <x:v>1. 75회 기본 8번 · ④
직접 · 정답선지④
→ C18-S03 공통 연결 뒤</x:v>
      </x:c>
      <x:c r="L170" s="16" t="str">
        <x:v>—</x:v>
      </x:c>
      <x:c r="M170" s="16" t="str">
        <x:v>흥덕왕·828년·설치 요청은 본문 학습점이며, 원문 두 문항 모두 설치 연도를 숫자로 고르는 문제는 아니다.</x:v>
      </x:c>
    </x:row>
    <x:row r="171" ht="110.25" customHeight="1">
      <x:c r="A171" s="10" t="str">
        <x:v>CH18</x:v>
      </x:c>
      <x:c r="B171" s="10" t="str">
        <x:v>THR-C18-S03</x:v>
      </x:c>
      <x:c r="C171" s="13" t="str">
        <x:v>세 나라의 물건</x:v>
      </x:c>
      <x:c r="D171" s="13" t="str">
        <x:v>청해진의 신라·당·일본 교류, 적산 법화원과 재당 신라인 거점.</x:v>
      </x:c>
      <x:c r="E171" s="34" t="str">
        <x:v>75회 기본 8번</x:v>
      </x:c>
      <x:c r="F171" s="35" t="n">
        <x:v>4</x:v>
      </x:c>
      <x:c r="G171" s="49" t="str">
        <x:v>직접</x:v>
      </x:c>
      <x:c r="H171" s="13" t="str">
        <x:v>C18-S03
공통 연결 뒤</x:v>
      </x:c>
      <x:c r="I171" s="13" t="str">
        <x:v>자료·정답선지④</x:v>
      </x:c>
      <x:c r="J171" s="13" t="str">
        <x:v>적산 법화원과 장보고, 청해진의 당·일본 항로가 모두 대화에 등장해 원문 강좌 제목을 판단할 수 있다.</x:v>
      </x:c>
      <x:c r="K171" s="13" t="str">
        <x:v>1. 66회 심화 6번 · ⑤
직접 · 자료·정답선지⑤
→ C18-S03 공통 연결 뒤
2. 74회 심화 9번 · ②
직접 · 정답선지②
→ C18-S07 공통 연결 뒤</x:v>
      </x:c>
      <x:c r="L171" s="13" t="str">
        <x:v>—</x:v>
      </x:c>
      <x:c r="M171" s="13" t="str">
        <x:v>첫 연결이 대표다. 신라방·신라소·신라원·신라촌의 모든 기능, 아라비아 지역 기록, 선명력 전래 시기를 이 문항들이 각각 직접 묻는 것은 아니다.</x:v>
      </x:c>
    </x:row>
    <x:row r="172" ht="67.5" customHeight="1">
      <x:c r="A172" s="15" t="str">
        <x:v>CH18</x:v>
      </x:c>
      <x:c r="B172" s="15" t="str">
        <x:v>THR-C18-S04</x:v>
      </x:c>
      <x:c r="C172" s="16" t="str">
        <x:v>파도를 기다리는 사람</x:v>
      </x:c>
      <x:c r="D172" s="16" t="str">
        <x:v>폭풍 속 출항을 미루거나 화물을 나누는 선택을 통해 해상 교역의 안전을 생각한다.</x:v>
      </x:c>
      <x:c r="E172" s="32" t="str">
        <x:v>75회 기본 8번</x:v>
      </x:c>
      <x:c r="F172" s="33" t="n">
        <x:v>4</x:v>
      </x:c>
      <x:c r="G172" s="39" t="str">
        <x:v>서사연결</x:v>
      </x:c>
      <x:c r="H172" s="16" t="str">
        <x:v>C18-S07
공통 연결 뒤</x:v>
      </x:c>
      <x:c r="I172" s="16" t="str">
        <x:v>정답선지④</x:v>
      </x:c>
      <x:c r="J172" s="16" t="str">
        <x:v>배·상인·연락망의 생활 장면을 장보고와 청해진의 해상 무역이라는 이미 배운 사실에 연결한다. 출항 결정을 역사 정답으로 평가하지 않고 항구 이야기가 마무리된 뒤 복습한다.</x:v>
      </x:c>
      <x:c r="K172" s="16" t="str">
        <x:v>—</x:v>
      </x:c>
      <x:c r="L172" s="16" t="str">
        <x:v>—</x:v>
      </x:c>
      <x:c r="M172" s="16" t="str">
        <x:v>이 연결은 선택의 안전성이나 손익 계산을 묻는 문제로 변형하지 않는다. CH18S03에서 풀었다면 CH18S07의 재등장은 선택 복습으로 취급한다.</x:v>
      </x:c>
    </x:row>
    <x:row r="173" ht="53.25" customHeight="1">
      <x:c r="A173" s="10" t="str">
        <x:v>CH18</x:v>
      </x:c>
      <x:c r="B173" s="10" t="str">
        <x:v>THR-C18-S05</x:v>
      </x:c>
      <x:c r="C173" s="13" t="str">
        <x:v>왕실로 간 제안</x:v>
      </x:c>
      <x:c r="D173" s="13" t="str">
        <x:v>장보고의 신무왕 옹립 지원, 문성왕과의 혼인 구상 및 골품 질서와의 정치 갈등.</x:v>
      </x:c>
      <x:c r="E173" s="34" t="str">
        <x:v>79회 심화 10번</x:v>
      </x:c>
      <x:c r="F173" s="35" t="n">
        <x:v>3</x:v>
      </x:c>
      <x:c r="G173" s="49" t="str">
        <x:v>직접</x:v>
      </x:c>
      <x:c r="H173" s="13" t="str">
        <x:v>C19-S01
공통 연결 뒤</x:v>
      </x:c>
      <x:c r="I173" s="13" t="str">
        <x:v>자료(나)</x:v>
      </x:c>
      <x:c r="J173" s="13" t="str">
        <x:v>원문 (나)는 궁복, 곧 장보고의 딸을 왕비로 삼으려다 거부한 상황이다. 다른 자료인 혜공왕 피살과 정답 김헌창의 난을 연결하려면 CH19S01까지 읽어야 한다.</x:v>
      </x:c>
      <x:c r="K173" s="13" t="str">
        <x:v>1. 74회 심화 9번 · ②
직접 · 자료
→ C18-S07 공통 연결 뒤</x:v>
      </x:c>
      <x:c r="L173" s="13" t="str">
        <x:v>—</x:v>
      </x:c>
      <x:c r="M173" s="13" t="str">
        <x:v>무역 활동 자체를 반란으로 설명하지 않는다. 79회 심화 10번의 정답은 장보고가 아니라 두 자료 사이에 놓이는 김헌창의 난 ③이다.</x:v>
      </x:c>
    </x:row>
    <x:row r="174" ht="53.25" customHeight="1">
      <x:c r="A174" s="15" t="str">
        <x:v>CH18</x:v>
      </x:c>
      <x:c r="B174" s="15" t="str">
        <x:v>THR-C18-S06</x:v>
      </x:c>
      <x:c r="C174" s="16" t="str">
        <x:v>서로 다른 부고</x:v>
      </x:c>
      <x:c r="D174" s="16" t="str">
        <x:v>장보고 암살의 841년·846년 연대 차이를 사료별로 구별한다.</x:v>
      </x:c>
      <x:c r="E174" s="32" t="str">
        <x:v>74회 심화 9번</x:v>
      </x:c>
      <x:c r="F174" s="33" t="n">
        <x:v>2</x:v>
      </x:c>
      <x:c r="G174" s="49" t="str">
        <x:v>직접</x:v>
      </x:c>
      <x:c r="H174" s="16" t="str">
        <x:v>C18-S07
공통 연결 뒤</x:v>
      </x:c>
      <x:c r="I174" s="16" t="str">
        <x:v>자료</x:v>
      </x:c>
      <x:c r="J174" s="16" t="str">
        <x:v>원문은 장보고의 활동을 무령군 소장·법화원·청해진·왕위 다툼·암살의 흐름으로 제시한다. 이 씬은 연표 말미를 이해하는 근거이며, 정답은 앞서 배운 적산 법화원 ②다.</x:v>
      </x:c>
      <x:c r="K174" s="16" t="str">
        <x:v>—</x:v>
      </x:c>
      <x:c r="L174" s="16" t="str">
        <x:v>—</x:v>
      </x:c>
      <x:c r="M174" s="16" t="str">
        <x:v>원문에 없는 841년 대 846년의 택일을 추가하지 않는다. 같은 문항이 CH18S03·05·07에도 연결되지만 CH18S07에서 한 번만 출제한다.</x:v>
      </x:c>
    </x:row>
    <x:row r="175" ht="53.25" customHeight="1">
      <x:c r="A175" s="10" t="str">
        <x:v>CH18</x:v>
      </x:c>
      <x:c r="B175" s="10" t="str">
        <x:v>THR-C18-S07</x:v>
      </x:c>
      <x:c r="C175" s="13" t="str">
        <x:v>닫히는 청해진</x:v>
      </x:c>
      <x:c r="D175" s="13" t="str">
        <x:v>851년 청해진 폐지와 주민의 벽골군 이주, 장보고 사망과 폐지 사이의 간격.</x:v>
      </x:c>
      <x:c r="E175" s="34" t="str">
        <x:v>77회 심화 10번</x:v>
      </x:c>
      <x:c r="F175" s="35" t="n">
        <x:v>4</x:v>
      </x:c>
      <x:c r="G175" s="49" t="str">
        <x:v>직접</x:v>
      </x:c>
      <x:c r="H175" s="13" t="str">
        <x:v>C19-S04
공통 연결 뒤</x:v>
      </x:c>
      <x:c r="I175" s="13" t="str">
        <x:v>자료</x:v>
      </x:c>
      <x:c r="J175" s="13" t="str">
        <x:v>원문 뉴스의 청해진 폐지와 벽골군 이주가 나래의 생활에서 그대로 확인된다. 정답은 신라 하대의 선종 승려이므로 CH19S04에서 참선·선종을 배운 뒤 전체 문항을 푼다.</x:v>
      </x:c>
      <x:c r="K175" s="13" t="str">
        <x:v>1. 74회 심화 9번 · ②
관련복습 · 자료·정답선지②
→ C18-S07 공통 연결 뒤</x:v>
      </x:c>
      <x:c r="L175" s="13" t="str">
        <x:v>—</x:v>
      </x:c>
      <x:c r="M175" s="13" t="str">
        <x:v>나래 가족과의 합류 대사가 끝난 뒤 복습 카드로 연결한다. 폐지 직후 선종 정답을 요구하지 않고 CH19S04로 보내는 지연이 필요하다.</x:v>
      </x:c>
    </x:row>
    <x:row r="176" ht="67.5" customHeight="1">
      <x:c r="A176" s="15" t="str">
        <x:v>CH18</x:v>
      </x:c>
      <x:c r="B176" s="15" t="str">
        <x:v>THR-C18-S08</x:v>
      </x:c>
      <x:c r="C176" s="16" t="str">
        <x:v>항로가 남긴 사람</x:v>
      </x:c>
      <x:c r="D176" s="16" t="str">
        <x:v>청해진 폐지 뒤에도 이어진 항로와 지방 해상 세력·호족의 성장.</x:v>
      </x:c>
      <x:c r="E176" s="32" t="str">
        <x:v>67회 기본 10번</x:v>
      </x:c>
      <x:c r="F176" s="33" t="n">
        <x:v>2</x:v>
      </x:c>
      <x:c r="G176" s="49" t="str">
        <x:v>직접</x:v>
      </x:c>
      <x:c r="H176" s="16" t="str">
        <x:v>C19-S03
공통 연결 뒤</x:v>
      </x:c>
      <x:c r="I176" s="16" t="str">
        <x:v>자료·정답선지②</x:v>
      </x:c>
      <x:c r="J176" s="16" t="str">
        <x:v>본문은 지방 세력이 교역로를 장악하고 중앙보다 가까운 힘으로 성장하는 과정을 보여 준다. 성주·장군과 지역 지배의 뜻을 구체적으로 만나는 CH19S03 뒤에 호족 식별 문제를 푼다.</x:v>
      </x:c>
      <x:c r="K176" s="16" t="str">
        <x:v>—</x:v>
      </x:c>
      <x:c r="L176" s="16" t="str">
        <x:v>—</x:v>
      </x:c>
      <x:c r="M176" s="16" t="str">
        <x:v>851년 이후의 변화를 곧바로 왕건의 즉위로 압축하지 않는다. 아직은 호족의 형성 배경을 잇는 연결이다.</x:v>
      </x:c>
    </x:row>
    <x:row r="177" ht="110.25" customHeight="1">
      <x:c r="A177" s="47" t="str">
        <x:v>CH19</x:v>
      </x:c>
      <x:c r="B177" s="42" t="str">
        <x:v>THR-C19-S01</x:v>
      </x:c>
      <x:c r="C177" s="43" t="str">
        <x:v>822년의 깃발</x:v>
      </x:c>
      <x:c r="D177" s="43" t="str">
        <x:v>822년 헌덕왕 때 김헌창의 난, 왕위 갈등과 원성왕 독서삼품과·골품의 한계.</x:v>
      </x:c>
      <x:c r="E177" s="44" t="str">
        <x:v>78회 심화 8번</x:v>
      </x:c>
      <x:c r="F177" s="45" t="n">
        <x:v>3</x:v>
      </x:c>
      <x:c r="G177" s="51" t="str">
        <x:v>직접</x:v>
      </x:c>
      <x:c r="H177" s="43" t="str">
        <x:v>C19-S01
공통 연결 뒤</x:v>
      </x:c>
      <x:c r="I177" s="43" t="str">
        <x:v>자료·정답선지③</x:v>
      </x:c>
      <x:c r="J177" s="43" t="str">
        <x:v>헌덕왕 때 김헌창이 웅천주에서 일어났다는 본문과 혜공왕 이후 정치 변화를 묶는다. 원문 밑줄은 흥덕왕의 재위만이 아니라 혜공왕 피살 이후 신라 하대이므로 이 구별을 유지한다.</x:v>
      </x:c>
      <x:c r="K177" s="43" t="str">
        <x:v>1. 79회 심화 10번 · ③
직접 · 정답선지③
→ C19-S01 공통 연결 뒤
2. 76회 심화 6번 · ②
선지학습 · 오답선지④
→ C19-S02 공통 연결 뒤</x:v>
      </x:c>
      <x:c r="L177" s="43" t="str">
        <x:v>—</x:v>
      </x:c>
      <x:c r="M177" s="43" t="str">
        <x:v>원성왕 독서삼품과와 신문왕 국학을 같은 왕의 제도로 합치지 않는다. 상대등·시중의 권한 변화 전부를 직접 출제한 기출은 아니다.</x:v>
      </x:c>
    </x:row>
    <x:row r="178" ht="53.25" customHeight="1">
      <x:c r="A178" s="15" t="str">
        <x:v>CH19</x:v>
      </x:c>
      <x:c r="B178" s="15" t="str">
        <x:v>THR-C19-S02</x:v>
      </x:c>
      <x:c r="C178" s="16" t="str">
        <x:v>벼슬의 마지막 칸</x:v>
      </x:c>
      <x:c r="D178" s="16" t="str">
        <x:v>6두품 아찬 상한과 5·4두품 관등 상한, 공부로 넘기 어려운 골품의 벽.</x:v>
      </x:c>
      <x:c r="E178" s="32" t="str">
        <x:v>75회 기본 6번</x:v>
      </x:c>
      <x:c r="F178" s="33" t="n">
        <x:v>3</x:v>
      </x:c>
      <x:c r="G178" s="39" t="str">
        <x:v>관련복습</x:v>
      </x:c>
      <x:c r="H178" s="16" t="str">
        <x:v>C19-S02
공통 연결 뒤</x:v>
      </x:c>
      <x:c r="I178" s="16" t="str">
        <x:v>자료·정답선지③</x:v>
      </x:c>
      <x:c r="J178" s="16" t="str">
        <x:v>원문은 골품별 복식 규정으로 신라를 알아보고 국학을 고른다. 본 씬의 관등 제한과 같은 신분 제도를 다른 생활 영역에 적용하며, 국학은 CH16S03에서 이미 배웠다.</x:v>
      </x:c>
      <x:c r="K178" s="16" t="str">
        <x:v>1. 76회 심화 6번 · ②
선지학습 · 오답선지④
→ C19-S02 공통 연결 뒤</x:v>
      </x:c>
      <x:c r="L178" s="16" t="str">
        <x:v>—</x:v>
      </x:c>
      <x:c r="M178" s="16" t="str">
        <x:v>아찬·대나마·대사의 정확한 상한 숫자를 원문이 직접 묻지는 않는다. 재인에게 건네는 두 대사를 합격·오답으로 평가하지 않는다.</x:v>
      </x:c>
    </x:row>
    <x:row r="179" ht="53.25" customHeight="1">
      <x:c r="A179" s="10" t="str">
        <x:v>CH19</x:v>
      </x:c>
      <x:c r="B179" s="10" t="str">
        <x:v>THR-C19-S03</x:v>
      </x:c>
      <x:c r="C179" s="13" t="str">
        <x:v>스스로 지킨 성</x:v>
      </x:c>
      <x:c r="D179" s="13" t="str">
        <x:v>호족이 성과 군사·곡식을 장악하며 지방 지배력을 키우는 과정.</x:v>
      </x:c>
      <x:c r="E179" s="34" t="str">
        <x:v>67회 기본 10번</x:v>
      </x:c>
      <x:c r="F179" s="35" t="n">
        <x:v>2</x:v>
      </x:c>
      <x:c r="G179" s="49" t="str">
        <x:v>직접</x:v>
      </x:c>
      <x:c r="H179" s="13" t="str">
        <x:v>C19-S03
공통 연결 뒤</x:v>
      </x:c>
      <x:c r="I179" s="13" t="str">
        <x:v>자료·정답선지②</x:v>
      </x:c>
      <x:c r="J179" s="13" t="str">
        <x:v>성주와 지역의 큰 집들이 군사·물자를 모으고 주민이 호족에게 도움을 청하는 본문은 원문의 정치·군사·경제적 지역 지배와 일치한다.</x:v>
      </x:c>
      <x:c r="K179" s="13" t="str">
        <x:v>1. 69회 기본 9번 · ④
직접 · 정답선지④
→ C19-S08 공통 연결 뒤</x:v>
      </x:c>
      <x:c r="L179" s="13" t="str">
        <x:v>—</x:v>
      </x:c>
      <x:c r="M179" s="13" t="str">
        <x:v>대표는 호족 자체를 묻는 기본 10번이다. 보호와 수취 부담에 대한 주민의 평가는 별도 서사로 유지한다.</x:v>
      </x:c>
    </x:row>
    <x:row r="180" ht="110.25" customHeight="1">
      <x:c r="A180" s="15" t="str">
        <x:v>CH19</x:v>
      </x:c>
      <x:c r="B180" s="15" t="str">
        <x:v>THR-C19-S04</x:v>
      </x:c>
      <x:c r="C180" s="16" t="str">
        <x:v>참선하는 밤</x:v>
      </x:c>
      <x:c r="D180" s="16" t="str">
        <x:v>선종의 참선, 지방 산문과 호족의 관계, 철감선사탑의 승탑 성격.</x:v>
      </x:c>
      <x:c r="E180" s="32" t="str">
        <x:v>74회 심화 8번</x:v>
      </x:c>
      <x:c r="F180" s="33" t="n">
        <x:v>2</x:v>
      </x:c>
      <x:c r="G180" s="49" t="str">
        <x:v>직접</x:v>
      </x:c>
      <x:c r="H180" s="16" t="str">
        <x:v>C19-S04
공통 연결 뒤</x:v>
      </x:c>
      <x:c r="I180" s="16" t="str">
        <x:v>자료·정답선지②</x:v>
      </x:c>
      <x:c r="J180" s="16" t="str">
        <x:v>본문의 참선·9세기 산문·승탑은 원문 보림사 철불과 9산문 자료가 가리키는 선종을 판단할 근거다. 정답의 참선과 수행을 통한 깨달음이 대사에 직접 나온다.</x:v>
      </x:c>
      <x:c r="K180" s="16" t="str">
        <x:v>1. 77회 심화 10번 · ④
직접 · 정답선지④
→ C19-S04 공통 연결 뒤
2. 61회 기본 8번 · ①
선지학습 · 오답선지②
→ C19-S04 공통 연결 뒤</x:v>
      </x:c>
      <x:c r="L180" s="16" t="str">
        <x:v>—</x:v>
      </x:c>
      <x:c r="M180" s="16" t="str">
        <x:v>이번 씬의 대표 연결인 74심화8과 청해진 폐지 씬에서 보류한 77심화10을 이 지점에서 처음 푼다. 61기본8은 추가 복습 후보다. 수미산문은 현대 후대 참고의 936년 정보이며 9세기 현장 학습으로 소급하지 않는다.</x:v>
      </x:c>
    </x:row>
    <x:row r="181" ht="53.25" customHeight="1">
      <x:c r="A181" s="10" t="str">
        <x:v>CH19</x:v>
      </x:c>
      <x:c r="B181" s="10" t="str">
        <x:v>THR-C19-S05</x:v>
      </x:c>
      <x:c r="C181" s="13" t="str">
        <x:v>산을 읽는 두 눈</x:v>
      </x:c>
      <x:c r="D181" s="13" t="str">
        <x:v>도선·풍수지리설을 지방 세력이 받아들인 배경과 주민의 땅에 대한 기억.</x:v>
      </x:c>
      <x:c r="E181" s="34" t="str">
        <x:v>67회 기본 10번</x:v>
      </x:c>
      <x:c r="F181" s="35" t="n">
        <x:v>2</x:v>
      </x:c>
      <x:c r="G181" s="40" t="str">
        <x:v>관련복습</x:v>
      </x:c>
      <x:c r="H181" s="13" t="str">
        <x:v>C19-S08
공통 연결 뒤</x:v>
      </x:c>
      <x:c r="I181" s="13" t="str">
        <x:v>자료·정답선지②</x:v>
      </x:c>
      <x:c r="J181" s="13" t="str">
        <x:v>풍수 자체를 묻는 문항은 아니다. 왕도 밖의 터와 산에도 의미를 부여하며 지방 세력이 힘을 키운다는 본문을 이미 배운 호족의 지역 지배와 연결하는 장 말미 복습이다.</x:v>
      </x:c>
      <x:c r="K181" s="13" t="str">
        <x:v>—</x:v>
      </x:c>
      <x:c r="L181" s="13" t="str">
        <x:v>—</x:v>
      </x:c>
      <x:c r="M181" s="13" t="str">
        <x:v>도선이나 풍수지리설을 이 문항의 정답인 것처럼 표시하지 않는다. 산길에서의 감정과 대사 선택은 마친 뒤 CH19S08 복습 묶음으로 보낸다.</x:v>
      </x:c>
    </x:row>
    <x:row r="182" ht="53.25" customHeight="1">
      <x:c r="A182" s="15" t="str">
        <x:v>CH19</x:v>
      </x:c>
      <x:c r="B182" s="15" t="str">
        <x:v>THR-C19-S06</x:v>
      </x:c>
      <x:c r="C182" s="16" t="str">
        <x:v>오지 않는 세금</x:v>
      </x:c>
      <x:c r="D182" s="16" t="str">
        <x:v>889년 진성여왕 때 재정 부족·수취 독촉과 농민 생활의 위기.</x:v>
      </x:c>
      <x:c r="E182" s="32" t="str">
        <x:v>61회 심화 8번</x:v>
      </x:c>
      <x:c r="F182" s="33" t="n">
        <x:v>4</x:v>
      </x:c>
      <x:c r="G182" s="39" t="str">
        <x:v>서사연결</x:v>
      </x:c>
      <x:c r="H182" s="16" t="str">
        <x:v>C19-S07
공통 연결 뒤</x:v>
      </x:c>
      <x:c r="I182" s="16" t="str">
        <x:v>정답선지④</x:v>
      </x:c>
      <x:c r="J182" s="16" t="str">
        <x:v>이번 씬의 조세 독촉과 빈 곡식 항아리는 원종·애노 봉기의 배경이다. 원종·애노의 이름과 사벌주가 등장하는 다음 씬 뒤에 822년 김헌창의 난 이후 사건을 고른다.</x:v>
      </x:c>
      <x:c r="K182" s="16" t="str">
        <x:v>—</x:v>
      </x:c>
      <x:c r="L182" s="16" t="str">
        <x:v>—</x:v>
      </x:c>
      <x:c r="M182" s="16" t="str">
        <x:v>봉기 인물을 만나기 전에 정답 이름부터 보여 주지 않는다. CH19S07과 같은 문항·같은 풀이 지점으로 통합한다.</x:v>
      </x:c>
    </x:row>
    <x:row r="183" ht="110.25" customHeight="1">
      <x:c r="A183" s="10" t="str">
        <x:v>CH19</x:v>
      </x:c>
      <x:c r="B183" s="10" t="str">
        <x:v>THR-C19-S07</x:v>
      </x:c>
      <x:c r="C183" s="13" t="str">
        <x:v>원종과 애노의 목소리</x:v>
      </x:c>
      <x:c r="D183" s="13" t="str">
        <x:v>889년 사벌주의 원종·애노 봉기와 822년 귀족 반란의 주체·원인 차이.</x:v>
      </x:c>
      <x:c r="E183" s="34" t="str">
        <x:v>61회 심화 8번</x:v>
      </x:c>
      <x:c r="F183" s="35" t="n">
        <x:v>4</x:v>
      </x:c>
      <x:c r="G183" s="49" t="str">
        <x:v>직접</x:v>
      </x:c>
      <x:c r="H183" s="13" t="str">
        <x:v>C19-S07
공통 연결 뒤</x:v>
      </x:c>
      <x:c r="I183" s="13" t="str">
        <x:v>자료·정답선지④</x:v>
      </x:c>
      <x:c r="J183" s="13" t="str">
        <x:v>김헌창의 822년 반란과 원종·애노의 889년 사벌주 봉기를 모두 보아 자료 이후의 사건을 판단할 수 있다.</x:v>
      </x:c>
      <x:c r="K183" s="13" t="str">
        <x:v>1. 76회 심화 9번 · ②
직접 · 자료·정답선지②
→ C19-S07 공통 연결 뒤
2. 68회 심화 6번 · ③
직접 · 정답선지③
→ C19-S08 공통 연결 뒤</x:v>
      </x:c>
      <x:c r="L183" s="13" t="str">
        <x:v>—</x:v>
      </x:c>
      <x:c r="M183" s="13" t="str">
        <x:v>아이를 돌보거나 증언을 듣는 어느 선택을 했든 공통 본문에서 봉기의 원인과 인물을 배운다. 퀴즈는 합류 뒤에만 연결한다.</x:v>
      </x:c>
    </x:row>
    <x:row r="184" ht="110.25" customHeight="1">
      <x:c r="A184" s="15" t="str">
        <x:v>CH19</x:v>
      </x:c>
      <x:c r="B184" s="15" t="str">
        <x:v>THR-C19-S08</x:v>
      </x:c>
      <x:c r="C184" s="16" t="str">
        <x:v>열 가지 건의의 문</x:v>
      </x:c>
      <x:c r="D184" s="16" t="str">
        <x:v>최치원의 시무10여조, 토황소격문·계원필경집과 신라 말 개혁의 한계.</x:v>
      </x:c>
      <x:c r="E184" s="32" t="str">
        <x:v>70회 심화 8번</x:v>
      </x:c>
      <x:c r="F184" s="33" t="n">
        <x:v>3</x:v>
      </x:c>
      <x:c r="G184" s="49" t="str">
        <x:v>직접</x:v>
      </x:c>
      <x:c r="H184" s="16" t="str">
        <x:v>C19-S08
공통 연결 뒤</x:v>
      </x:c>
      <x:c r="I184" s="16" t="str">
        <x:v>자료·정답선지③</x:v>
      </x:c>
      <x:c r="J184" s="16" t="str">
        <x:v>최치원이 진성여왕에게 시무10여조를 올리고 황소를 꾸짖는 격문을 썼다는 본문이 자료와 정답 격황소서에 직접 연결된다. 토황소격문과 같은 글을 가리키는 이름임을 해설한다.</x:v>
      </x:c>
      <x:c r="K184" s="16" t="str">
        <x:v>1. 69회 기본 48번 · ①
직접 · 정답선지①
→ C19-S08 공통 연결 뒤
2. 68회 심화 6번 · ③
직접 · 자료·정답선지③
→ C19-S08 공통 연결 뒤</x:v>
      </x:c>
      <x:c r="L184" s="16" t="str">
        <x:v>—</x:v>
      </x:c>
      <x:c r="M184" s="16" t="str">
        <x:v>대표는 최치원 시무책·격문을 연결하는 70회 심화 8번이다. 앞 씬에서 이곳으로 보낸 호족·봉기 문제는 추가 복습 후보로 묶어 연속 강제 출제를 피한다.</x:v>
      </x:c>
    </x:row>
    <x:row r="185" ht="53.25" customHeight="1">
      <x:c r="A185" s="10" t="str">
        <x:v>CH19</x:v>
      </x:c>
      <x:c r="B185" s="10" t="str">
        <x:v>THR-C19-S09</x:v>
      </x:c>
      <x:c r="C185" s="13" t="str">
        <x:v>세 갈래의 길</x:v>
      </x:c>
      <x:c r="D185" s="13" t="str">
        <x:v>남북국의 동시성을 확인하고 발해 건국의 배경인 696~698년으로 되돌아간다.</x:v>
      </x:c>
      <x:c r="E185" s="34" t="str">
        <x:v>70회 심화 7번</x:v>
      </x:c>
      <x:c r="F185" s="35" t="n">
        <x:v>4</x:v>
      </x:c>
      <x:c r="G185" s="40" t="str">
        <x:v>서사연결</x:v>
      </x:c>
      <x:c r="H185" s="13" t="str">
        <x:v>C21-S10
공통 연결 뒤</x:v>
      </x:c>
      <x:c r="I185" s="13" t="str">
        <x:v>자료</x:v>
      </x:c>
      <x:c r="J185" s="13" t="str">
        <x:v>대조영의 발해 건국이라는 자료를 앞으로 따라갈 도입이다. 정답은 훨씬 뒤에 정비된 5경15부62주이므로 건국 장면에서 풀지 않고 CH21S10의 발해 종합 복습으로 보낸다.</x:v>
      </x:c>
      <x:c r="K185" s="13" t="str">
        <x:v>—</x:v>
      </x:c>
      <x:c r="L185" s="13" t="str">
        <x:v>—</x:v>
      </x:c>
      <x:c r="M185" s="13" t="str">
        <x:v>발해를 신라 말 다음에 처음 등장한 국가로 배열하지 않는다. 이동 안내 직후 역사 정답을 요구하지 않는다.</x:v>
      </x:c>
    </x:row>
    <x:row r="186" ht="53.25" customHeight="1">
      <x:c r="A186" s="57" t="str">
        <x:v>CH20</x:v>
      </x:c>
      <x:c r="B186" s="52" t="str">
        <x:v>THR-C20-S01</x:v>
      </x:c>
      <x:c r="C186" s="53" t="str">
        <x:v>또 다른 피란길</x:v>
      </x:c>
      <x:c r="D186" s="53" t="str">
        <x:v>696년 이후 영주를 떠난 사람들과 고구려 멸망 뒤 한 세대의 간격.</x:v>
      </x:c>
      <x:c r="E186" s="54" t="str">
        <x:v>70회 심화 7번</x:v>
      </x:c>
      <x:c r="F186" s="55" t="n">
        <x:v>4</x:v>
      </x:c>
      <x:c r="G186" s="56" t="str">
        <x:v>서사연결</x:v>
      </x:c>
      <x:c r="H186" s="53" t="str">
        <x:v>C21-S10
공통 연결 뒤</x:v>
      </x:c>
      <x:c r="I186" s="53" t="str">
        <x:v>자료</x:v>
      </x:c>
      <x:c r="J186" s="53" t="str">
        <x:v>원문은 고구려 옛 장수 대조영이 세운 국가를 찾는다. 본 씬의 피란과 세대 차이는 그 건국 배경이며, 국가와 후대 지방제도를 모두 배운 CH21S10 뒤에 푼다.</x:v>
      </x:c>
      <x:c r="K186" s="53" t="str">
        <x:v>—</x:v>
      </x:c>
      <x:c r="L186" s="53" t="str">
        <x:v>—</x:v>
      </x:c>
      <x:c r="M186" s="53" t="str">
        <x:v>해루를 이전 고구려 장의 인물과 동일인으로 맞히는 문제가 아니다. 초기 피란만으로 발해의 완성된 제도를 학습했다고 처리하지 않는다.</x:v>
      </x:c>
    </x:row>
    <x:row r="187" ht="67.5" customHeight="1">
      <x:c r="A187" s="10" t="str">
        <x:v>CH20</x:v>
      </x:c>
      <x:c r="B187" s="10" t="str">
        <x:v>THR-C20-S02</x:v>
      </x:c>
      <x:c r="C187" s="13" t="str">
        <x:v>말이 다른 동료</x:v>
      </x:c>
      <x:c r="D187" s="13" t="str">
        <x:v>고구려계와 말갈계 주민이 함께 이동하며 몫과 의사소통을 조정한다.</x:v>
      </x:c>
      <x:c r="E187" s="34" t="str">
        <x:v>70회 심화 7번</x:v>
      </x:c>
      <x:c r="F187" s="35" t="n">
        <x:v>4</x:v>
      </x:c>
      <x:c r="G187" s="40" t="str">
        <x:v>관련복습</x:v>
      </x:c>
      <x:c r="H187" s="13" t="str">
        <x:v>C21-S10
공통 연결 뒤</x:v>
      </x:c>
      <x:c r="I187" s="13" t="str">
        <x:v>자료</x:v>
      </x:c>
      <x:c r="J187" s="13" t="str">
        <x:v>고구려의 옛 사람들을 배경으로 한 대조영의 건국 자료와 연결하되, 원문이 말갈계 주민의 비율이나 모든 주민의 혈통을 직접 묻는 것은 아니다. 전체 정답에 필요한 지방제도는 CH21까지 기다린다.</x:v>
      </x:c>
      <x:c r="K187" s="13" t="str">
        <x:v>—</x:v>
      </x:c>
      <x:c r="L187" s="13" t="str">
        <x:v>—</x:v>
      </x:c>
      <x:c r="M187" s="13" t="str">
        <x:v>본문의 다양한 주민 구성을 고구려계 한 집단으로 축소하지 않는다. 원문 자료 연결과 인구 구성 자체의 직접 출제를 구별한다.</x:v>
      </x:c>
    </x:row>
    <x:row r="188" ht="81.75" customHeight="1">
      <x:c r="A188" s="15" t="str">
        <x:v>CH20</x:v>
      </x:c>
      <x:c r="B188" s="15" t="str">
        <x:v>THR-C20-S03</x:v>
      </x:c>
      <x:c r="C188" s="16" t="str">
        <x:v>천문령의 먼 소식</x:v>
      </x:c>
      <x:c r="D188" s="16" t="str">
        <x:v>천문령 승리 소식과 이후 동모산 정착·건국의 순서.</x:v>
      </x:c>
      <x:c r="E188" s="32" t="str">
        <x:v>73회 기본 9번</x:v>
      </x:c>
      <x:c r="F188" s="33" t="n">
        <x:v>1</x:v>
      </x:c>
      <x:c r="G188" s="39" t="str">
        <x:v>서사연결</x:v>
      </x:c>
      <x:c r="H188" s="16" t="str">
        <x:v>C22-S07
공통 연결 뒤</x:v>
      </x:c>
      <x:c r="I188" s="16" t="str">
        <x:v>정답선지①</x:v>
      </x:c>
      <x:c r="J188" s="16" t="str">
        <x:v>아직 일어나지 않은 건국을 전투 승리 소문과 나누어 보는 장면이다. 정답의 대조영·동모산과 자료의 해동성국은 CH20~21에서 배우지만, 원문 자료에 발해가 망한 뒤 유득공이 역사를 정리했다는 문장이 있으므로 멸망 서사를 마치는 CH22S07까지 공개를 미룬다.</x:v>
      </x:c>
      <x:c r="K188" s="16" t="str">
        <x:v>—</x:v>
      </x:c>
      <x:c r="L188" s="16" t="str">
        <x:v>—</x:v>
      </x:c>
      <x:c r="M188" s="16" t="str">
        <x:v>천문령 자체를 이 문항의 정답 내용이라고 쓰지 않는다. 78회 심화 10번 오답선지⑤에도 천문령이 있으나 원문 자료의 신숭겸·공산 연결은 본문에 없어 필수 출제로 채택하지 않았다.</x:v>
      </x:c>
    </x:row>
    <x:row r="189" ht="67.5" customHeight="1">
      <x:c r="A189" s="10" t="str">
        <x:v>CH20</x:v>
      </x:c>
      <x:c r="B189" s="10" t="str">
        <x:v>THR-C20-S04</x:v>
      </x:c>
      <x:c r="C189" s="13" t="str">
        <x:v>동모산 아래의 약속</x:v>
      </x:c>
      <x:c r="D189" s="13" t="str">
        <x:v>698년 대조영의 동모산 건국, 초기 국호 진과 천통 연호 전승의 검토.</x:v>
      </x:c>
      <x:c r="E189" s="34" t="str">
        <x:v>73회 기본 9번</x:v>
      </x:c>
      <x:c r="F189" s="35" t="n">
        <x:v>1</x:v>
      </x:c>
      <x:c r="G189" s="49" t="str">
        <x:v>직접</x:v>
      </x:c>
      <x:c r="H189" s="13" t="str">
        <x:v>C22-S07
공통 연결 뒤</x:v>
      </x:c>
      <x:c r="I189" s="13" t="str">
        <x:v>정답선지①</x:v>
      </x:c>
      <x:c r="J189" s="13" t="str">
        <x:v>698년 동모산에서 대조영이 새 나라를 세웠다는 공통 대사가 정답에 직접 해당한다. 해동성국은 CH21S06에서 배우지만 원문 자료가 발해의 멸망을 명시하므로, 전체 문제는 멸망·유민 서사를 마친 CH22S07 뒤에 푼다.</x:v>
      </x:c>
      <x:c r="K189" s="13" t="str">
        <x:v>1. 61회 심화 10번 · ①
선지학습 · 오답선지⑤
→ C21-S02 공통 연결 뒤</x:v>
      </x:c>
      <x:c r="L189" s="13" t="str">
        <x:v>—</x:v>
      </x:c>
      <x:c r="M189" s="13" t="str">
        <x:v>천통을 확정된 당대 공식 선포로 바꾸지 않는다. 건국과 후대 전성기의 제도를 한해에 완성한 것으로 해설하지 않는다.</x:v>
      </x:c>
    </x:row>
    <x:row r="190" ht="67.5" customHeight="1">
      <x:c r="A190" s="15" t="str">
        <x:v>CH20</x:v>
      </x:c>
      <x:c r="B190" s="15" t="str">
        <x:v>THR-C20-S05</x:v>
      </x:c>
      <x:c r="C190" s="16" t="str">
        <x:v>이름을 잇는 문서</x:v>
      </x:c>
      <x:c r="D190" s="16" t="str">
        <x:v>고구려 계승 의식과 다양한 주민의 뿌리를 함께 기록한다.</x:v>
      </x:c>
      <x:c r="E190" s="32" t="str">
        <x:v>66회 심화 8번</x:v>
      </x:c>
      <x:c r="F190" s="33" t="n">
        <x:v>5</x:v>
      </x:c>
      <x:c r="G190" s="39" t="str">
        <x:v>관련복습</x:v>
      </x:c>
      <x:c r="H190" s="16" t="str">
        <x:v>C21-S09
공통 연결 뒤</x:v>
      </x:c>
      <x:c r="I190" s="16" t="str">
        <x:v>자료·정답선지⑤</x:v>
      </x:c>
      <x:c r="J190" s="16" t="str">
        <x:v>이번 씬의 정치적 계승 의식을 뒤의 유물·생활 문화 증거와 연결한다. 원문은 온돌과 연꽃무늬 수막새로 발해·고구려의 문화적 연관성을 묻기 때문에 실제 문화 장면인 CH21S09까지 기다린다.</x:v>
      </x:c>
      <x:c r="K190" s="16" t="str">
        <x:v>—</x:v>
      </x:c>
      <x:c r="L190" s="16" t="str">
        <x:v>—</x:v>
      </x:c>
      <x:c r="M190" s="16" t="str">
        <x:v>국서의 계승 표현이나 말갈계 주민 구성 자체를 원문 정답으로 교체하지 않는다. 정치적 계승과 문화의 구체적 증거를 나누어 연결한다.</x:v>
      </x:c>
    </x:row>
    <x:row r="191" ht="67.5" customHeight="1">
      <x:c r="A191" s="10" t="str">
        <x:v>CH20</x:v>
      </x:c>
      <x:c r="B191" s="10" t="str">
        <x:v>THR-C20-S06</x:v>
      </x:c>
      <x:c r="C191" s="13" t="str">
        <x:v>국경을 넘는 그릇</x:v>
      </x:c>
      <x:c r="D191" s="13" t="str">
        <x:v>누리의 그릇에서 옛 전통과 새로운 생활이 함께 이어지는 모습을 본다.</x:v>
      </x:c>
      <x:c r="E191" s="34" t="str">
        <x:v>66회 심화 8번</x:v>
      </x:c>
      <x:c r="F191" s="35" t="n">
        <x:v>5</x:v>
      </x:c>
      <x:c r="G191" s="40" t="str">
        <x:v>서사연결</x:v>
      </x:c>
      <x:c r="H191" s="13" t="str">
        <x:v>C21-S09
공통 연결 뒤</x:v>
      </x:c>
      <x:c r="I191" s="13" t="str">
        <x:v>자료·정답선지⑤</x:v>
      </x:c>
      <x:c r="J191" s="13" t="str">
        <x:v>그릇은 문화 계승을 이해시키는 창작 생활 소품이다. 실제 기출의 증거는 온돌과 수막새이므로 누리의 그릇을 출토 유물처럼 제시하지 않고 CH21S09의 실제 문화 학습 뒤 푼다.</x:v>
      </x:c>
      <x:c r="K191" s="13" t="str">
        <x:v>—</x:v>
      </x:c>
      <x:c r="L191" s="13" t="str">
        <x:v>—</x:v>
      </x:c>
      <x:c r="M191" s="13" t="str">
        <x:v>가상의 그릇 무늬를 공식 기출 사진이나 고고학 자료로 대체하지 않는다. 정답 학습의 완료 시점은 CH21S09다.</x:v>
      </x:c>
    </x:row>
    <x:row r="192" ht="67.5" customHeight="1">
      <x:c r="A192" s="15" t="str">
        <x:v>CH20</x:v>
      </x:c>
      <x:c r="B192" s="15" t="str">
        <x:v>THR-C20-S07</x:v>
      </x:c>
      <x:c r="C192" s="16" t="str">
        <x:v>당이 부르는 이름</x:v>
      </x:c>
      <x:c r="D192" s="16" t="str">
        <x:v>698년 건국과 713년 당의 발해군왕 책봉을 서로 다른 사건으로 구별한다.</x:v>
      </x:c>
      <x:c r="E192" s="32" t="str">
        <x:v>73회 기본 9번</x:v>
      </x:c>
      <x:c r="F192" s="33" t="n">
        <x:v>1</x:v>
      </x:c>
      <x:c r="G192" s="39" t="str">
        <x:v>관련복습</x:v>
      </x:c>
      <x:c r="H192" s="16" t="str">
        <x:v>C22-S07
공통 연결 뒤</x:v>
      </x:c>
      <x:c r="I192" s="16" t="str">
        <x:v>정답선지①</x:v>
      </x:c>
      <x:c r="J192" s="16" t="str">
        <x:v>원문의 대조영·동모산 건국을 다시 확인해 713년 책봉을 건국일로 오해하지 않게 한다. 해동성국 학습 뒤에도 자료 본문의 발해 멸망이 선공개되지 않도록 CH22S07까지 전체 문항을 지연한다.</x:v>
      </x:c>
      <x:c r="K192" s="16" t="str">
        <x:v>—</x:v>
      </x:c>
      <x:c r="L192" s="16" t="str">
        <x:v>—</x:v>
      </x:c>
      <x:c r="M192" s="16" t="str">
        <x:v>713년 책봉 연도 자체를 직접 묻는 기출은 아니다. 건국·책봉을 비교하는 학습 연결이며 앞 건국 씬들과 같은 풀이 지점에서 한 번 출제한다.</x:v>
      </x:c>
    </x:row>
    <x:row r="193" ht="53.25" customHeight="1">
      <x:c r="A193" s="10" t="str">
        <x:v>CH20</x:v>
      </x:c>
      <x:c r="B193" s="10" t="str">
        <x:v>THR-C20-S08</x:v>
      </x:c>
      <x:c r="C193" s="13" t="str">
        <x:v>무왕의 시대를 열다</x:v>
      </x:c>
      <x:c r="D193" s="13" t="str">
        <x:v>719년 무왕 대무예의 즉위와 인안, 대문예·흑수말갈 갈등으로 이어지는 배경.</x:v>
      </x:c>
      <x:c r="E193" s="34" t="str">
        <x:v>61회 심화 10번</x:v>
      </x:c>
      <x:c r="F193" s="35" t="n">
        <x:v>1</x:v>
      </x:c>
      <x:c r="G193" s="49" t="str">
        <x:v>직접</x:v>
      </x:c>
      <x:c r="H193" s="13" t="str">
        <x:v>C21-S02
공통 연결 뒤</x:v>
      </x:c>
      <x:c r="I193" s="13" t="str">
        <x:v>자료</x:v>
      </x:c>
      <x:c r="J193" s="13" t="str">
        <x:v>무왕과 흑수말갈·당 사이의 긴장을 열어 주는 장면이다. 다음 장에서 대문예 갈등과 장문휴의 등주 공격을 모두 본 CH21S02 뒤 정답을 판단한다.</x:v>
      </x:c>
      <x:c r="K193" s="13" t="str">
        <x:v>1. 79회 심화 7번 · ③
직접 · 정답선지③
→ C21-S07 공통 연결 뒤</x:v>
      </x:c>
      <x:c r="L193" s="13" t="str">
        <x:v>—</x:v>
      </x:c>
      <x:c r="M193" s="13" t="str">
        <x:v>인안 하나를 배웠다고 대흥의 왕과 5경까지 이미 배운 것으로 간주하지 않는다. 두 문제 모두 후행 학습 지점을 지정한다.</x:v>
      </x:c>
    </x:row>
    <x:row r="194" ht="53.25" customHeight="1">
      <x:c r="A194" s="57" t="str">
        <x:v>CH21</x:v>
      </x:c>
      <x:c r="B194" s="52" t="str">
        <x:v>THR-C21-S01</x:v>
      </x:c>
      <x:c r="C194" s="53" t="str">
        <x:v>싸우자는 왕과 동생</x:v>
      </x:c>
      <x:c r="D194" s="53" t="str">
        <x:v>대문예의 흑수말갈 공격 반대·당 망명과 무왕의 대당 갈등.</x:v>
      </x:c>
      <x:c r="E194" s="54" t="str">
        <x:v>61회 심화 10번</x:v>
      </x:c>
      <x:c r="F194" s="55" t="n">
        <x:v>1</x:v>
      </x:c>
      <x:c r="G194" s="51" t="str">
        <x:v>직접</x:v>
      </x:c>
      <x:c r="H194" s="53" t="str">
        <x:v>C21-S02
공통 연결 뒤</x:v>
      </x:c>
      <x:c r="I194" s="53" t="str">
        <x:v>자료</x:v>
      </x:c>
      <x:c r="J194" s="53" t="str">
        <x:v>대문예가 흑수말갈 공격에 반대하고 당으로 망명한 배경은 원문 무왕 식별의 핵심 단서다. 정답 장문휴의 등주 공격이 나타나는 다음 씬 뒤에 푼다.</x:v>
      </x:c>
      <x:c r="K194" s="53" t="str">
        <x:v>—</x:v>
      </x:c>
      <x:c r="L194" s="53" t="str">
        <x:v>—</x:v>
      </x:c>
      <x:c r="M194" s="53" t="str">
        <x:v>전쟁 찬성과 반대를 정답 선택지로 바꾸지 않는다. 같은 문제를 CH21S02 뒤 한 번만 출제한다.</x:v>
      </x:c>
    </x:row>
    <x:row r="195" ht="53.25" customHeight="1">
      <x:c r="A195" s="10" t="str">
        <x:v>CH21</x:v>
      </x:c>
      <x:c r="B195" s="10" t="str">
        <x:v>THR-C21-S02</x:v>
      </x:c>
      <x:c r="C195" s="13" t="str">
        <x:v>등주로 향한 돛</x:v>
      </x:c>
      <x:c r="D195" s="13" t="str">
        <x:v>732년 무왕 때 장문휴의 산둥반도 등주 공격과 인안 연호.</x:v>
      </x:c>
      <x:c r="E195" s="34" t="str">
        <x:v>61회 심화 10번</x:v>
      </x:c>
      <x:c r="F195" s="35" t="n">
        <x:v>1</x:v>
      </x:c>
      <x:c r="G195" s="49" t="str">
        <x:v>직접</x:v>
      </x:c>
      <x:c r="H195" s="13" t="str">
        <x:v>C21-S02
공통 연결 뒤</x:v>
      </x:c>
      <x:c r="I195" s="13" t="str">
        <x:v>자료·정답선지①</x:v>
      </x:c>
      <x:c r="J195" s="13" t="str">
        <x:v>대문예와 갈등한 왕이 무왕임을 앞 씬에서 확인했고, 이번 씬에서 732년 장문휴의 등주 공격을 직접 배웠다. 원문 자료와 정답의 연결이 여기서 완성된다.</x:v>
      </x:c>
      <x:c r="K195" s="13" t="str">
        <x:v>—</x:v>
      </x:c>
      <x:c r="L195" s="13" t="str">
        <x:v>—</x:v>
      </x:c>
      <x:c r="M195" s="13" t="str">
        <x:v>출항하는 병사의 편지를 마친 뒤 푼다. 대조영의 동모산 건국은 오답선지⑤에 있는 다른 왕의 활동으로 비교한다.</x:v>
      </x:c>
    </x:row>
    <x:row r="196" ht="53.25" customHeight="1">
      <x:c r="A196" s="15" t="str">
        <x:v>CH21</x:v>
      </x:c>
      <x:c r="B196" s="15" t="str">
        <x:v>THR-C21-S03</x:v>
      </x:c>
      <x:c r="C196" s="16" t="str">
        <x:v>전쟁 뒤의 다른 외교</x:v>
      </x:c>
      <x:c r="D196" s="16" t="str">
        <x:v>문왕 대흠무의 대흥·보력, 당과의 관계 개선과 신라도.</x:v>
      </x:c>
      <x:c r="E196" s="32" t="str">
        <x:v>63회 심화 8번</x:v>
      </x:c>
      <x:c r="F196" s="33" t="n">
        <x:v>4</x:v>
      </x:c>
      <x:c r="G196" s="49" t="str">
        <x:v>직접</x:v>
      </x:c>
      <x:c r="H196" s="16" t="str">
        <x:v>C21-S05
공통 연결 뒤</x:v>
      </x:c>
      <x:c r="I196" s="16" t="str">
        <x:v>자료</x:v>
      </x:c>
      <x:c r="J196" s="16" t="str">
        <x:v>대흥 연호로 문왕을 식별할 수 있게 된다. 원문 정답은 상경 용천부 천도이므로 CH21S05에서 실제 천도 장면을 본 뒤 출제한다.</x:v>
      </x:c>
      <x:c r="K196" s="16" t="str">
        <x:v>1. 79회 심화 7번 · ③
직접 · 정답선지③
→ C21-S07 공통 연결 뒤</x:v>
      </x:c>
      <x:c r="L196" s="16" t="str">
        <x:v>—</x:v>
      </x:c>
      <x:c r="M196" s="16" t="str">
        <x:v>신라도와 친당 정책을 각각 직접 묻는 문항인 것처럼 과장하지 않는다. 문왕의 보력은 별도 시점의 기록임을 유지한다.</x:v>
      </x:c>
    </x:row>
    <x:row r="197" ht="67.5" customHeight="1">
      <x:c r="A197" s="10" t="str">
        <x:v>CH21</x:v>
      </x:c>
      <x:c r="B197" s="10" t="str">
        <x:v>THR-C21-S04</x:v>
      </x:c>
      <x:c r="C197" s="13" t="str">
        <x:v>세 성의 문서</x:v>
      </x:c>
      <x:c r="D197" s="13" t="str">
        <x:v>정당성·중대성·선조성과 대내상, 충인의지예신 6부, 중정대·주자감·황상.</x:v>
      </x:c>
      <x:c r="E197" s="34" t="str">
        <x:v>77회 심화 7번</x:v>
      </x:c>
      <x:c r="F197" s="35" t="n">
        <x:v>2</x:v>
      </x:c>
      <x:c r="G197" s="49" t="str">
        <x:v>직접</x:v>
      </x:c>
      <x:c r="H197" s="13" t="str">
        <x:v>C21-S07
공통 연결 뒤</x:v>
      </x:c>
      <x:c r="I197" s="13" t="str">
        <x:v>정답선지②</x:v>
      </x:c>
      <x:c r="J197" s="13" t="str">
        <x:v>주자감에 배우러 가려는 집의 문서를 통해 발해 교육기관을 확인한다. 원문 국가 식별 자료의 5경·15부는 CH21S07에서 배운 뒤 전체 문제를 푼다.</x:v>
      </x:c>
      <x:c r="K197" s="13" t="str">
        <x:v>1. 63회 심화 8번 · ④
직접 · 자료
→ C21-S05 공통 연결 뒤</x:v>
      </x:c>
      <x:c r="L197" s="13" t="str">
        <x:v>—</x:v>
      </x:c>
      <x:c r="M197" s="13" t="str">
        <x:v>현재 두 문항은 3성·6부의 모든 이름이나 중정대 기능을 직접 묻지 않는다. 주자감·황상이라는 실제 겹치는 지점만 직접 연결한다. 정답이 문적원인 74회 심화 7번은 본문에서 문적원을 배우지 않아 채택하지 않았다.</x:v>
      </x:c>
    </x:row>
    <x:row r="198" ht="53.25" customHeight="1">
      <x:c r="A198" s="15" t="str">
        <x:v>CH21</x:v>
      </x:c>
      <x:c r="B198" s="15" t="str">
        <x:v>THR-C21-S05</x:v>
      </x:c>
      <x:c r="C198" s="16" t="str">
        <x:v>상경의 긴 길</x:v>
      </x:c>
      <x:c r="D198" s="16" t="str">
        <x:v>문왕의 상경 용천부 천도와 주작대로, 당 도성 구조의 영향.</x:v>
      </x:c>
      <x:c r="E198" s="32" t="str">
        <x:v>63회 심화 8번</x:v>
      </x:c>
      <x:c r="F198" s="33" t="n">
        <x:v>4</x:v>
      </x:c>
      <x:c r="G198" s="49" t="str">
        <x:v>직접</x:v>
      </x:c>
      <x:c r="H198" s="16" t="str">
        <x:v>C21-S05
공통 연결 뒤</x:v>
      </x:c>
      <x:c r="I198" s="16" t="str">
        <x:v>자료·정답선지④</x:v>
      </x:c>
      <x:c r="J198" s="16" t="str">
        <x:v>대흥·황상은 앞 두 씬, 상경 용천부 천도는 이번 씬에서 배웠다. 정효공주 묘지의 다른 세부 사항을 외우지 않아도 대흥으로 문왕을 식별하고 정답을 고를 수 있다.</x:v>
      </x:c>
      <x:c r="K198" s="16" t="str">
        <x:v>1. 67회 기본 8번 · ①
직접 · 자료
→ C21-S08 공통 연결 뒤</x:v>
      </x:c>
      <x:c r="L198" s="16" t="str">
        <x:v>—</x:v>
      </x:c>
      <x:c r="M198" s="16" t="str">
        <x:v>칠지도는 앞선 백제 장에서 배운 유물이다. 67회 기본 8번의 원문은 부정형이며 정답 ①을 유지한다. 다온 가족을 돕는 선택을 끝낸 뒤에만 삽입한다.</x:v>
      </x:c>
    </x:row>
    <x:row r="199" ht="110.25" customHeight="1">
      <x:c r="A199" s="10" t="str">
        <x:v>CH21</x:v>
      </x:c>
      <x:c r="B199" s="10" t="str">
        <x:v>THR-C21-S06</x:v>
      </x:c>
      <x:c r="C199" s="13" t="str">
        <x:v>건흥의 새 지도</x:v>
      </x:c>
      <x:c r="D199" s="13" t="str">
        <x:v>선왕 대인수의 건흥, 영역 확장과 해동성국이라는 평가.</x:v>
      </x:c>
      <x:c r="E199" s="34" t="str">
        <x:v>73회 기본 9번</x:v>
      </x:c>
      <x:c r="F199" s="35" t="n">
        <x:v>1</x:v>
      </x:c>
      <x:c r="G199" s="49" t="str">
        <x:v>직접</x:v>
      </x:c>
      <x:c r="H199" s="13" t="str">
        <x:v>C22-S07
공통 연결 뒤</x:v>
      </x:c>
      <x:c r="I199" s="13" t="str">
        <x:v>자료</x:v>
      </x:c>
      <x:c r="J199" s="13" t="str">
        <x:v>국가 식별 단서인 해동성국과 정답 대조영·동모산 건국은 이제 모두 배웠다. 다만 원문 자료는 발해가 망한 뒤 유득공이 역사를 정리했다고 명시하므로, 실제 문항 공개는 CH22S07의 멸망·유민 서사 뒤로 미룬다.</x:v>
      </x:c>
      <x:c r="K199" s="13" t="str">
        <x:v>1. 75회 기본 9번 · ④
직접 · 정답선지④
→ C21-S10 공통 연결 뒤
2. 78회 심화 9번 · ③
직접 · 자료
→ C21-S09 공통 연결 뒤</x:v>
      </x:c>
      <x:c r="L199" s="13" t="str">
        <x:v>—</x:v>
      </x:c>
      <x:c r="M199" s="13" t="str">
        <x:v>해동성국을 선왕의 연호나 새 공식 국호로 바꾸지 않는다. 78회 심화 9번 자료는 효의황후·순목황후 묘지이며 정혜·정효 공주 묘지와 구별한다.</x:v>
      </x:c>
    </x:row>
    <x:row r="200" ht="110.25" customHeight="1">
      <x:c r="A200" s="15" t="str">
        <x:v>CH21</x:v>
      </x:c>
      <x:c r="B200" s="15" t="str">
        <x:v>THR-C21-S07</x:v>
      </x:c>
      <x:c r="C200" s="16" t="str">
        <x:v>다섯 경으로 가는 서신</x:v>
      </x:c>
      <x:c r="D200" s="16" t="str">
        <x:v>발해 5경15부62주, 주자감, 솔빈부의 말·발해관·신라도.</x:v>
      </x:c>
      <x:c r="E200" s="32" t="str">
        <x:v>77회 심화 7번</x:v>
      </x:c>
      <x:c r="F200" s="33" t="n">
        <x:v>2</x:v>
      </x:c>
      <x:c r="G200" s="49" t="str">
        <x:v>직접</x:v>
      </x:c>
      <x:c r="H200" s="16" t="str">
        <x:v>C21-S07
공통 연결 뒤</x:v>
      </x:c>
      <x:c r="I200" s="16" t="str">
        <x:v>자료·정답선지②</x:v>
      </x:c>
      <x:c r="J200" s="16" t="str">
        <x:v>5경·15부와 대외 교류로 발해를 식별하고 주자감을 고르는 원문이다. 지방제도·교류·교육기관이 이번 씬의 역참 편지에서 함께 확인된다.</x:v>
      </x:c>
      <x:c r="K200" s="16" t="str">
        <x:v>1. 79회 심화 7번 · ③
직접 · 자료·정답선지③
→ C21-S07 공통 연결 뒤
2. 76회 심화 5번 · ④
선지학습 · 오답선지②
→ C21-S07 공통 연결 뒤</x:v>
      </x:c>
      <x:c r="L200" s="16" t="str">
        <x:v>—</x:v>
      </x:c>
      <x:c r="M200" s="16" t="str">
        <x:v>첫 연결은 대표, 나머지는 선택 복습이다. 발해관과 교역로의 세부 기능을 직접 묻는 문항은 아니다. 5경은 신라의 5소경과 혼동하지 않는다.</x:v>
      </x:c>
    </x:row>
    <x:row r="201" ht="53.25" customHeight="1">
      <x:c r="A201" s="10" t="str">
        <x:v>CH21</x:v>
      </x:c>
      <x:c r="B201" s="10" t="str">
        <x:v>THR-C21-S08</x:v>
      </x:c>
      <x:c r="C201" s="13" t="str">
        <x:v>두 공주의 무덤</x:v>
      </x:c>
      <x:c r="D201" s="13" t="str">
        <x:v>문왕의 두 딸 정혜·정효의 묘지, 굴식돌방·돌사자와 벽돌무덤의 비교.</x:v>
      </x:c>
      <x:c r="E201" s="34" t="str">
        <x:v>63회 심화 8번</x:v>
      </x:c>
      <x:c r="F201" s="35" t="n">
        <x:v>4</x:v>
      </x:c>
      <x:c r="G201" s="49" t="str">
        <x:v>직접</x:v>
      </x:c>
      <x:c r="H201" s="13" t="str">
        <x:v>C21-S08
공통 연결 뒤</x:v>
      </x:c>
      <x:c r="I201" s="13" t="str">
        <x:v>자료</x:v>
      </x:c>
      <x:c r="J201" s="13" t="str">
        <x:v>원문에 제시된 정효공주 묘지의 대흥·황상 단서를 이번 씬의 문왕 계보와 연결한다. 상경 천도는 CH21S05에서 배웠으므로 지금은 묘지에서 왕을 식별하는 관점의 복습이다.</x:v>
      </x:c>
      <x:c r="K201" s="13" t="str">
        <x:v>1. 69회 기본 8번 · ③
직접 · 자료
→ C21-S10 공통 연결 뒤</x:v>
      </x:c>
      <x:c r="L201" s="13" t="str">
        <x:v>—</x:v>
      </x:c>
      <x:c r="M201" s="13" t="str">
        <x:v>원문 두 문제는 정혜의 돌방과 정효의 벽돌을 나란히 비교하는 문제는 아니다. 78회 심화 9번의 두 황후 묘지를 두 공주 무덤으로 설명하지 않는다.</x:v>
      </x:c>
    </x:row>
    <x:row r="202" ht="110.25" customHeight="1">
      <x:c r="A202" s="15" t="str">
        <x:v>CH21</x:v>
      </x:c>
      <x:c r="B202" s="15" t="str">
        <x:v>THR-C21-S09</x:v>
      </x:c>
      <x:c r="C202" s="16" t="str">
        <x:v>온돌 곁의 두 부처</x:v>
      </x:c>
      <x:c r="D202" s="16" t="str">
        <x:v>발해의 온돌·이불병좌상·영광탑과 고구려 계승·당 문화 수용의 공존.</x:v>
      </x:c>
      <x:c r="E202" s="32" t="str">
        <x:v>66회 심화 8번</x:v>
      </x:c>
      <x:c r="F202" s="33" t="n">
        <x:v>5</x:v>
      </x:c>
      <x:c r="G202" s="49" t="str">
        <x:v>직접</x:v>
      </x:c>
      <x:c r="H202" s="16" t="str">
        <x:v>C21-S09
공통 연결 뒤</x:v>
      </x:c>
      <x:c r="I202" s="16" t="str">
        <x:v>자료·정답선지⑤</x:v>
      </x:c>
      <x:c r="J202" s="16" t="str">
        <x:v>온돌을 고구려 문화와 연결하는 대사가 원문 자료의 온돌·연꽃무늬 수막새와 같은 문화 계승 주제다. 실제 사진은 기출 원본을 쓰고 누리의 가상 그릇으로 바꾸지 않는다.</x:v>
      </x:c>
      <x:c r="K202" s="16" t="str">
        <x:v>1. 68회 심화 10번 · ①
직접 · 자료·정답선지①
→ C21-S09 공통 연결 뒤
2. 78회 심화 9번 · ③
직접 · 자료·정답선지③
→ C21-S09 공통 연결 뒤</x:v>
      </x:c>
      <x:c r="L202" s="16" t="str">
        <x:v>—</x:v>
      </x:c>
      <x:c r="M202" s="16" t="str">
        <x:v>첫 연결은 대표이고 두 이미지 문항은 선택 복습이다. 영광탑은 현대 유물명 층위를 유지한다. 두 선택 어느 쪽이든 공통 대사에서 온돌·이불병좌상을 모두 만나므로 퀴즈 선행 지식이 분기에 종속되지 않는다.</x:v>
      </x:c>
    </x:row>
    <x:row r="203" ht="110.25" customHeight="1">
      <x:c r="A203" s="10" t="str">
        <x:v>CH21</x:v>
      </x:c>
      <x:c r="B203" s="10" t="str">
        <x:v>THR-C21-S10</x:v>
      </x:c>
      <x:c r="C203" s="13" t="str">
        <x:v>전성기 뒤의 빈 기록</x:v>
      </x:c>
      <x:c r="D203" s="13" t="str">
        <x:v>선왕 뒤에도 이어진 발해의 왕계와 기록, 건국·성장·문화를 한 나라의 역사로 묶는다.</x:v>
      </x:c>
      <x:c r="E203" s="34" t="str">
        <x:v>75회 기본 9번</x:v>
      </x:c>
      <x:c r="F203" s="35" t="n">
        <x:v>4</x:v>
      </x:c>
      <x:c r="G203" s="40" t="str">
        <x:v>관련복습</x:v>
      </x:c>
      <x:c r="H203" s="13" t="str">
        <x:v>C21-S10
공통 연결 뒤</x:v>
      </x:c>
      <x:c r="I203" s="13" t="str">
        <x:v>자료·정답선지④</x:v>
      </x:c>
      <x:c r="J203" s="13" t="str">
        <x:v>대조영 건국·5경15부62주·해동성국을 모두 배운 뒤 발해 전반을 돌아보는 문항이다. 선왕 다음이 곧바로 멸망이라는 압축을 피하며 앞 시기의 제도를 복습한다.</x:v>
      </x:c>
      <x:c r="K203" s="13" t="str">
        <x:v>1. 70회 심화 7번 · ④
관련복습 · 자료·정답선지④
→ C21-S10 공통 연결 뒤
2. 69회 기본 8번 · ③
관련복습 · 자료·정답선지③
→ C21-S10 공통 연결 뒤</x:v>
      </x:c>
      <x:c r="L203" s="13" t="str">
        <x:v>—</x:v>
      </x:c>
      <x:c r="M203" s="13" t="str">
        <x:v>이 세 문항은 전성기 이후 왕계 자체를 묻는 문제가 아니다. 75기본9와 앞의 건국 도입에서 도착한 70심화7을 각각 처음 풀고, 69기본8은 추가 복습 후보로 둔다. 발해 멸망을 직접 말하는 자료는 CH22까지 보류한다.</x:v>
      </x:c>
    </x:row>
    <x:row r="204" ht="67.5" customHeight="1">
      <x:c r="A204" s="57" t="str">
        <x:v>CH22</x:v>
      </x:c>
      <x:c r="B204" s="52" t="str">
        <x:v>THR-C22-S01</x:v>
      </x:c>
      <x:c r="C204" s="53" t="str">
        <x:v>서쪽에서 온 경고</x:v>
      </x:c>
      <x:c r="D204" s="53" t="str">
        <x:v>거란의 부여부 공격에서 상경 진격으로 이어지는 925~926년의 소식.</x:v>
      </x:c>
      <x:c r="E204" s="54" t="str">
        <x:v>61회 심화 11번</x:v>
      </x:c>
      <x:c r="F204" s="55" t="n">
        <x:v>2</x:v>
      </x:c>
      <x:c r="G204" s="50" t="str">
        <x:v>선지학습</x:v>
      </x:c>
      <x:c r="H204" s="53" t="str">
        <x:v>C23-S08
공통 연결 뒤</x:v>
      </x:c>
      <x:c r="I204" s="53" t="str">
        <x:v>오답선지①</x:v>
      </x:c>
      <x:c r="J204" s="53" t="str">
        <x:v>원문 ①의 발해를 멸망시킨 거란이라는 부분과 연결한다. 이 씬만으로 고려 태조의 거란 적대 정책까지 배운 것은 아니며, 원문 정답인 궁예의 미륵 자처를 배우는 CH23 이후에만 전체 문항을 푼다.</x:v>
      </x:c>
      <x:c r="K204" s="53" t="str">
        <x:v>—</x:v>
      </x:c>
      <x:c r="L204" s="53" t="str">
        <x:v>—</x:v>
      </x:c>
      <x:c r="M204" s="53" t="str">
        <x:v>현재 장면에는 멸망 결말을 정답처럼 먼저 공개하지 않는다. CH22S03의 멸망 확인과 CH23S06의 궁예 학습을 모두 거친 CH23S08에서 같은 문항을 한 번 출제한다.</x:v>
      </x:c>
    </x:row>
    <x:row r="205" ht="67.5" customHeight="1">
      <x:c r="A205" s="10" t="str">
        <x:v>CH22</x:v>
      </x:c>
      <x:c r="B205" s="10" t="str">
        <x:v>THR-C22-S02</x:v>
      </x:c>
      <x:c r="C205" s="13" t="str">
        <x:v>상경의 마지막 겨울</x:v>
      </x:c>
      <x:c r="D205" s="13" t="str">
        <x:v>926년 상경을 떠나는 은서 가족과 온돌방에 남은 생활의 기억.</x:v>
      </x:c>
      <x:c r="E205" s="34" t="str">
        <x:v>66회 심화 8번</x:v>
      </x:c>
      <x:c r="F205" s="35" t="n">
        <x:v>5</x:v>
      </x:c>
      <x:c r="G205" s="40" t="str">
        <x:v>관련복습</x:v>
      </x:c>
      <x:c r="H205" s="13" t="str">
        <x:v>C22-S03
공통 연결 뒤</x:v>
      </x:c>
      <x:c r="I205" s="13" t="str">
        <x:v>자료</x:v>
      </x:c>
      <x:c r="J205" s="13" t="str">
        <x:v>상경의 따뜻한 방을 떠올리는 공통 대사는 CH21S09의 온돌 학습을 다시 불러온다. 피란 동작을 평가하는 문제가 아니라 발해 문화가 어떤 생활에 쓰였는지를 떠올리는 복습이다.</x:v>
      </x:c>
      <x:c r="K205" s="13" t="str">
        <x:v>—</x:v>
      </x:c>
      <x:c r="L205" s="13" t="str">
        <x:v>—</x:v>
      </x:c>
      <x:c r="M205" s="13" t="str">
        <x:v>피란 분기와 작별 대화 중에는 출제하지 않는다. 다음 기록 검토 장면 뒤의 선택 복습으로 연결하며, 온돌방 그림을 특정 선택의 공통 소지품으로 가정하지 않는다.</x:v>
      </x:c>
    </x:row>
    <x:row r="206" ht="53.25" customHeight="1">
      <x:c r="A206" s="15" t="str">
        <x:v>CH22</x:v>
      </x:c>
      <x:c r="B206" s="15" t="str">
        <x:v>THR-C22-S03</x:v>
      </x:c>
      <x:c r="C206" s="16" t="str">
        <x:v>폭발 때문이라는 말</x:v>
      </x:c>
      <x:c r="D206" s="16" t="str">
        <x:v>926년 거란 침입·대인선 항복과 약 946년 백두산 분화를 구별한다.</x:v>
      </x:c>
      <x:c r="E206" s="32" t="str">
        <x:v>61회 심화 11번</x:v>
      </x:c>
      <x:c r="F206" s="33" t="n">
        <x:v>2</x:v>
      </x:c>
      <x:c r="G206" s="48" t="str">
        <x:v>선지학습</x:v>
      </x:c>
      <x:c r="H206" s="16" t="str">
        <x:v>C23-S08
공통 연결 뒤</x:v>
      </x:c>
      <x:c r="I206" s="16" t="str">
        <x:v>오답선지①</x:v>
      </x:c>
      <x:c r="J206" s="16" t="str">
        <x:v>발해를 멸망시킨 세력이 거란이라는 원문 ①의 일부 사실을 이제 확인했다. 원문은 궁예의 활동을 묻는 문제이므로 정답 ②를 바꾸지 않고 CH23S08로 지연한다.</x:v>
      </x:c>
      <x:c r="K206" s="16" t="str">
        <x:v>1. 73회 기본 9번 · ①
관련복습 · 자료
→ C22-S07 공통 연결 뒤</x:v>
      </x:c>
      <x:c r="L206" s="16" t="str">
        <x:v>—</x:v>
      </x:c>
      <x:c r="M206" s="16" t="str">
        <x:v>백두산 분화가 멸망 원인인지, 926·946년을 비교하는 독립 기출은 이 연결에 없다. 화산 문제를 새로 만들어 실제 기출이라고 표시하지 않는다.</x:v>
      </x:c>
    </x:row>
    <x:row r="207" ht="67.5" customHeight="1">
      <x:c r="A207" s="10" t="str">
        <x:v>CH22</x:v>
      </x:c>
      <x:c r="B207" s="10" t="str">
        <x:v>THR-C22-S04</x:v>
      </x:c>
      <x:c r="C207" s="13" t="str">
        <x:v>어느 길로 갈 것인가</x:v>
      </x:c>
      <x:c r="D207" s="13" t="str">
        <x:v>발해 유민이 고려행·잔류·다른 이동·강제 이주로 갈라진다는 사실.</x:v>
      </x:c>
      <x:c r="E207" s="34" t="str">
        <x:v>73회 기본 9번</x:v>
      </x:c>
      <x:c r="F207" s="35" t="n">
        <x:v>1</x:v>
      </x:c>
      <x:c r="G207" s="40" t="str">
        <x:v>서사연결</x:v>
      </x:c>
      <x:c r="H207" s="13" t="str">
        <x:v>C22-S07
공통 연결 뒤</x:v>
      </x:c>
      <x:c r="I207" s="13" t="str">
        <x:v>자료</x:v>
      </x:c>
      <x:c r="J207" s="13" t="str">
        <x:v>유민의 길이 하나가 아니었다는 서사를 멸망 뒤에도 국가의 역사를 기록하는 원문의 자료와 연결한다. 실제 정답은 대조영·동모산 건국이며 유민의 경로를 고르는 문제는 아니다.</x:v>
      </x:c>
      <x:c r="K207" s="13" t="str">
        <x:v>—</x:v>
      </x:c>
      <x:c r="L207" s="13" t="str">
        <x:v>—</x:v>
      </x:c>
      <x:c r="M207" s="13" t="str">
        <x:v>고려로 모두 이동했다는 오답 전제를 만들지 않는다. 67회 기본 11번은 유민 수용이 자료에 있으나 정답 흑창을 본편에서 배우지 않아 현재 필수 출제로 쓰지 않는다.</x:v>
      </x:c>
    </x:row>
    <x:row r="208" ht="67.5" customHeight="1">
      <x:c r="A208" s="15" t="str">
        <x:v>CH22</x:v>
      </x:c>
      <x:c r="B208" s="15" t="str">
        <x:v>THR-C22-S05</x:v>
      </x:c>
      <x:c r="C208" s="16" t="str">
        <x:v>여덟 해의 간격</x:v>
      </x:c>
      <x:c r="D208" s="16" t="str">
        <x:v>926년 멸망에서 934년 대광현 귀부까지 여덟 해의 간격과 서로 다른 유민의 삶.</x:v>
      </x:c>
      <x:c r="E208" s="32" t="str">
        <x:v>73회 기본 9번</x:v>
      </x:c>
      <x:c r="F208" s="33" t="n">
        <x:v>1</x:v>
      </x:c>
      <x:c r="G208" s="39" t="str">
        <x:v>관련복습</x:v>
      </x:c>
      <x:c r="H208" s="16" t="str">
        <x:v>C22-S07
공통 연결 뒤</x:v>
      </x:c>
      <x:c r="I208" s="16" t="str">
        <x:v>자료·정답선지①</x:v>
      </x:c>
      <x:c r="J208" s="16" t="str">
        <x:v>이 씬이 다루는 발해의 역사를 멸망 뒤에도 기록하는 관점에서 국가 정체성과 건국을 복습한다. 원문은 934년 대광현 귀부를 직접 묻지 않는다는 범위를 명시한다.</x:v>
      </x:c>
      <x:c r="K208" s="16" t="str">
        <x:v>—</x:v>
      </x:c>
      <x:c r="L208" s="16" t="str">
        <x:v>—</x:v>
      </x:c>
      <x:c r="M208" s="16" t="str">
        <x:v>현재 검증 은행에서 본문 지식만으로 풀 수 있는 대광현 934년 직접 문항은 찾지 못했다. 이를 숨기지 않고 발해 관련 복습으로 표시한다. 흑창 정답을 힌트로 새로 가르쳐 연결을 성립시키지 않는다.</x:v>
      </x:c>
    </x:row>
    <x:row r="209" ht="67.5" customHeight="1">
      <x:c r="A209" s="10" t="str">
        <x:v>CH22</x:v>
      </x:c>
      <x:c r="B209" s="10" t="str">
        <x:v>THR-C22-S06</x:v>
      </x:c>
      <x:c r="C209" s="13" t="str">
        <x:v>고향을 말할 권리</x:v>
      </x:c>
      <x:c r="D209" s="13" t="str">
        <x:v>934년 고려에 도착한 은서 가족의 발해 출신·기술·고향 기억.</x:v>
      </x:c>
      <x:c r="E209" s="34" t="str">
        <x:v>66회 심화 8번</x:v>
      </x:c>
      <x:c r="F209" s="35" t="n">
        <x:v>5</x:v>
      </x:c>
      <x:c r="G209" s="40" t="str">
        <x:v>서사연결</x:v>
      </x:c>
      <x:c r="H209" s="13" t="str">
        <x:v>C22-S07
공통 연결 뒤</x:v>
      </x:c>
      <x:c r="I209" s="13" t="str">
        <x:v>자료·정답선지⑤</x:v>
      </x:c>
      <x:c r="J209" s="13" t="str">
        <x:v>딸이 기억하는 따뜻한 방은 발해의 온돌을 배우던 CH21S09를 잇는다. 문화의 기억이 국경과 국가 멸망 뒤에도 이어진다는 서사와 연결하되 원문은 고구려·발해 문화 비교임을 유지한다.</x:v>
      </x:c>
      <x:c r="K209" s="13" t="str">
        <x:v>—</x:v>
      </x:c>
      <x:c r="L209" s="13" t="str">
        <x:v>—</x:v>
      </x:c>
      <x:c r="M209" s="13" t="str">
        <x:v>고려가 발해 유민을 받아들인 정책 자체의 정답 문제는 아니다. 어느 도움 대사를 골랐든 온돌방 기억은 공통 대사에 있으므로 분기별 퀴즈 조건이 달라지지 않는다.</x:v>
      </x:c>
    </x:row>
    <x:row r="210" ht="53.25" customHeight="1">
      <x:c r="A210" s="15" t="str">
        <x:v>CH22</x:v>
      </x:c>
      <x:c r="B210" s="15" t="str">
        <x:v>THR-C22-S07</x:v>
      </x:c>
      <x:c r="C210" s="16" t="str">
        <x:v>왕의 귀환은 없다</x:v>
      </x:c>
      <x:c r="D210" s="16" t="str">
        <x:v>발해 국가의 멸망과 유민·문화·기록의 지속을 구별하며 북쪽 이야기를 마친다.</x:v>
      </x:c>
      <x:c r="E210" s="32" t="str">
        <x:v>73회 기본 9번</x:v>
      </x:c>
      <x:c r="F210" s="33" t="n">
        <x:v>1</x:v>
      </x:c>
      <x:c r="G210" s="39" t="str">
        <x:v>관련복습</x:v>
      </x:c>
      <x:c r="H210" s="16" t="str">
        <x:v>C22-S07
공통 연결 뒤</x:v>
      </x:c>
      <x:c r="I210" s="16" t="str">
        <x:v>자료·정답선지①</x:v>
      </x:c>
      <x:c r="J210" s="16" t="str">
        <x:v>원문은 멸망한 해동성국의 역사를 유득공이 전한다는 자료로 발해를 식별하고 대조영·동모산을 고른다. 건국·해동성국은 앞 장에서 배워 전체 풀이가 가능하다.</x:v>
      </x:c>
      <x:c r="K210" s="16" t="str">
        <x:v>1. 66회 심화 8번 · ⑤
관련복습 · 자료·정답선지⑤
→ C22-S07 공통 연결 뒤</x:v>
      </x:c>
      <x:c r="L210" s="16" t="str">
        <x:v>—</x:v>
      </x:c>
      <x:c r="M210" s="16" t="str">
        <x:v>대인선의 항복을 직접 답하게 하는 기출은 아니다. 앞의 감정·유민 씬에서 이곳으로 보낸 같은 문항은 각각 한 번만 공개한다.</x:v>
      </x:c>
    </x:row>
    <x:row r="211" ht="67.5" customHeight="1">
      <x:c r="A211" s="10" t="str">
        <x:v>CH22</x:v>
      </x:c>
      <x:c r="B211" s="10" t="str">
        <x:v>THR-C22-S08</x:v>
      </x:c>
      <x:c r="C211" s="13" t="str">
        <x:v>남쪽의 900년으로</x:v>
      </x:c>
      <x:c r="D211" s="13" t="str">
        <x:v>934년에서 900년으로 되돌아가 후삼국과 고려의 성립을 다시 확인한다.</x:v>
      </x:c>
      <x:c r="E211" s="34" t="str">
        <x:v>69회 기본 10번</x:v>
      </x:c>
      <x:c r="F211" s="35" t="n">
        <x:v>3</x:v>
      </x:c>
      <x:c r="G211" s="40" t="str">
        <x:v>서사연결</x:v>
      </x:c>
      <x:c r="H211" s="13" t="str">
        <x:v>C23-S05
공통 연결 뒤</x:v>
      </x:c>
      <x:c r="I211" s="13" t="str">
        <x:v>자료</x:v>
      </x:c>
      <x:c r="J211" s="13" t="str">
        <x:v>고려의 시작을 알려면 왕건 즉위 전 궁예의 나라와 도읍 이동부터 보아야 한다는 전환에 연결한다. 아직 태봉·광평성·철원 천도를 배우지 않았으므로 CH23S05 뒤 전체 문제를 푼다.</x:v>
      </x:c>
      <x:c r="K211" s="13" t="str">
        <x:v>—</x:v>
      </x:c>
      <x:c r="L211" s="13" t="str">
        <x:v>—</x:v>
      </x:c>
      <x:c r="M211" s="13" t="str">
        <x:v>전환 독백에는 기출을 끼우지 않는다. 934년 유민 기록과 900~919년 남쪽의 사건 순서를 섞지 않는다.</x:v>
      </x:c>
    </x:row>
    <x:row r="212" ht="67.5" customHeight="1">
      <x:c r="A212" s="57" t="str">
        <x:v>CH23</x:v>
      </x:c>
      <x:c r="B212" s="52" t="str">
        <x:v>THR-C23-S01</x:v>
      </x:c>
      <x:c r="C212" s="53" t="str">
        <x:v>완산주의 새 깃발</x:v>
      </x:c>
      <x:c r="D212" s="53" t="str">
        <x:v>900년 견훤의 완산주 후백제 건국과 후대의 오월·후당 외교.</x:v>
      </x:c>
      <x:c r="E212" s="54" t="str">
        <x:v>79회 심화 9번</x:v>
      </x:c>
      <x:c r="F212" s="55" t="n">
        <x:v>5</x:v>
      </x:c>
      <x:c r="G212" s="50" t="str">
        <x:v>선지학습</x:v>
      </x:c>
      <x:c r="H212" s="53" t="str">
        <x:v>C23-S05
공통 연결 뒤</x:v>
      </x:c>
      <x:c r="I212" s="53" t="str">
        <x:v>오답선지③</x:v>
      </x:c>
      <x:c r="J212" s="53" t="str">
        <x:v>후대 연결에 나온 후백제의 후당·오월 외교는 원문 ③의 견훤 활동과 이어진다. 원문이 묻는 인물은 궁예이며 정답은 광평성 ⑤이므로 궁예·태봉·철원을 배우는 CH23S05 뒤 비교한다.</x:v>
      </x:c>
      <x:c r="K212" s="53" t="str">
        <x:v>—</x:v>
      </x:c>
      <x:c r="L212" s="53" t="str">
        <x:v>—</x:v>
      </x:c>
      <x:c r="M212" s="53" t="str">
        <x:v>견훤의 완산주 건국을 직접 묻는 73회 기본 10번은 자료의 신검·금산사 유폐·귀부를 본편에서 배우지 않아 필수 연결로 채택하지 않았다. 국호·외교의 실제 겹치는 선지만 표시한다.</x:v>
      </x:c>
    </x:row>
    <x:row r="213" ht="53.25" customHeight="1">
      <x:c r="A213" s="10" t="str">
        <x:v>CH23</x:v>
      </x:c>
      <x:c r="B213" s="10" t="str">
        <x:v>THR-C23-S02</x:v>
      </x:c>
      <x:c r="C213" s="13" t="str">
        <x:v>백성의 두 세금표</x:v>
      </x:c>
      <x:c r="D213" s="13" t="str">
        <x:v>후백제가 세워진 뒤에도 이어지는 시온의 생업과 납부 기록.</x:v>
      </x:c>
      <x:c r="E213" s="34" t="str">
        <x:v>79회 심화 9번</x:v>
      </x:c>
      <x:c r="F213" s="35" t="n">
        <x:v>5</x:v>
      </x:c>
      <x:c r="G213" s="40" t="str">
        <x:v>서사연결</x:v>
      </x:c>
      <x:c r="H213" s="13" t="str">
        <x:v>C23-S05
공통 연결 뒤</x:v>
      </x:c>
      <x:c r="I213" s="13" t="str">
        <x:v>오답선지③</x:v>
      </x:c>
      <x:c r="J213" s="13" t="str">
        <x:v>시온이 사는 후백제와 궁예의 나라를 구별하기 위한 연결이다. 후백제의 외교는 직전 공통 후대 주석에서 배웠고, 궁예의 정답 정책을 배우는 CH23S05 뒤 전체 문제를 푼다.</x:v>
      </x:c>
      <x:c r="K213" s="13" t="str">
        <x:v>—</x:v>
      </x:c>
      <x:c r="L213" s="13" t="str">
        <x:v>—</x:v>
      </x:c>
      <x:c r="M213" s="13" t="str">
        <x:v>가상의 두 세금표를 후백제 전국의 이중 과세 제도나 기출 정답으로 만들지 않는다. 실제 문항이 연결하는 부분은 견훤과 궁예의 구별이며 생활 사례 자체는 서사다.</x:v>
      </x:c>
    </x:row>
    <x:row r="214" ht="53.25" customHeight="1">
      <x:c r="A214" s="15" t="str">
        <x:v>CH23</x:v>
      </x:c>
      <x:c r="B214" s="15" t="str">
        <x:v>THR-C23-S03</x:v>
      </x:c>
      <x:c r="C214" s="16" t="str">
        <x:v>송악의 젊은 장수</x:v>
      </x:c>
      <x:c r="D214" s="16" t="str">
        <x:v>901년 궁예의 후고구려와 궁예 휘하 장수 왕건의 위치.</x:v>
      </x:c>
      <x:c r="E214" s="32" t="str">
        <x:v>77회 심화 9번</x:v>
      </x:c>
      <x:c r="F214" s="33" t="n">
        <x:v>2</x:v>
      </x:c>
      <x:c r="G214" s="49" t="str">
        <x:v>직접</x:v>
      </x:c>
      <x:c r="H214" s="16" t="str">
        <x:v>C23-S05
공통 연결 뒤</x:v>
      </x:c>
      <x:c r="I214" s="16" t="str">
        <x:v>자료</x:v>
      </x:c>
      <x:c r="J214" s="16" t="str">
        <x:v>원문에서 왕건에게 나주를 맡긴 인물은 궁예다. 이번 씬의 왕건은 아직 궁예의 장수라는 관계를 확인하고, 광평성·철원 천도까지 배운 CH23S05 뒤 푼다.</x:v>
      </x:c>
      <x:c r="K214" s="16" t="str">
        <x:v>1. 79회 심화 9번 · ⑤
직접 · 자료
→ C23-S05 공통 연결 뒤</x:v>
      </x:c>
      <x:c r="L214" s="16" t="str">
        <x:v>—</x:v>
      </x:c>
      <x:c r="M214" s="16" t="str">
        <x:v>왕건을 901년의 왕으로 호칭하거나 고려 건국을 이미 끝난 사건으로 처리하지 않는다. 원문에 처음 제시되는 양길·나주 세부 단서는 자료 독해 정보이며 기존 대사에 삽입하지 않는다.</x:v>
      </x:c>
    </x:row>
    <x:row r="215" ht="110.25" customHeight="1">
      <x:c r="A215" s="10" t="str">
        <x:v>CH23</x:v>
      </x:c>
      <x:c r="B215" s="10" t="str">
        <x:v>THR-C23-S04</x:v>
      </x:c>
      <x:c r="C215" s="13" t="str">
        <x:v>바뀌는 나라 이름</x:v>
      </x:c>
      <x:c r="D215" s="13" t="str">
        <x:v>후고구려→마진→태봉, 광평성 설치와 무태·성책·수덕만세·정개의 구별.</x:v>
      </x:c>
      <x:c r="E215" s="34" t="str">
        <x:v>69회 기본 10번</x:v>
      </x:c>
      <x:c r="F215" s="35" t="n">
        <x:v>3</x:v>
      </x:c>
      <x:c r="G215" s="49" t="str">
        <x:v>직접</x:v>
      </x:c>
      <x:c r="H215" s="13" t="str">
        <x:v>C23-S05
공통 연결 뒤</x:v>
      </x:c>
      <x:c r="I215" s="13" t="str">
        <x:v>정답선지③</x:v>
      </x:c>
      <x:c r="J215" s="13" t="str">
        <x:v>태봉으로 국호를 바꾸었다는 정답을 직접 배웠다. 자료의 송악에서 철원으로 옮긴 인물을 다음 씬에서 확인한 뒤 전체 문제를 푼다.</x:v>
      </x:c>
      <x:c r="K215" s="13" t="str">
        <x:v>1. 79회 심화 9번 · ⑤
직접 · 정답선지⑤
→ C23-S05 공통 연결 뒤
2. 73회 기본 9번 · ①
선지학습 · 오답선지④
→ C23-S04 공통 연결 뒤</x:v>
      </x:c>
      <x:c r="L215" s="13" t="str">
        <x:v>—</x:v>
      </x:c>
      <x:c r="M215" s="13" t="str">
        <x:v>국호와 연호를 서로 같은 목록으로 섞지 않는다. 연호 선지 연결은 원문 ④를 직접 확인했다. 첫 연결은 다음 씬 뒤 대표, 현재 씬의 연호 문제는 선택 복습 후보다.</x:v>
      </x:c>
    </x:row>
    <x:row r="216" ht="110.25" customHeight="1">
      <x:c r="A216" s="15" t="str">
        <x:v>CH23</x:v>
      </x:c>
      <x:c r="B216" s="15" t="str">
        <x:v>THR-C23-S05</x:v>
      </x:c>
      <x:c r="C216" s="16" t="str">
        <x:v>철원의 궁궐과 논</x:v>
      </x:c>
      <x:c r="D216" s="16" t="str">
        <x:v>905년 송악에서 철원으로 옮긴 궁예의 도읍과 광평성, 공사에 동원된 주민.</x:v>
      </x:c>
      <x:c r="E216" s="32" t="str">
        <x:v>69회 기본 10번</x:v>
      </x:c>
      <x:c r="F216" s="33" t="n">
        <x:v>3</x:v>
      </x:c>
      <x:c r="G216" s="49" t="str">
        <x:v>직접</x:v>
      </x:c>
      <x:c r="H216" s="16" t="str">
        <x:v>C23-S05
공통 연결 뒤</x:v>
      </x:c>
      <x:c r="I216" s="16" t="str">
        <x:v>자료·정답선지③</x:v>
      </x:c>
      <x:c r="J216" s="16" t="str">
        <x:v>광평성·송악에서 철원으로의 천도라는 자료와 궁예의 태봉 국호 변경을 모두 배웠다. 도읍과 국호를 연결하는 대표 문항이다.</x:v>
      </x:c>
      <x:c r="K216" s="16" t="str">
        <x:v>1. 77회 심화 9번 · ②
직접 · 자료·정답선지②
→ C23-S05 공통 연결 뒤
2. 79회 심화 9번 · ⑤
직접 · 자료·정답선지⑤
→ C23-S05 공통 연결 뒤</x:v>
      </x:c>
      <x:c r="L216" s="16" t="str">
        <x:v>—</x:v>
      </x:c>
      <x:c r="M216" s="16" t="str">
        <x:v>이번 씬의 대표 연결은 69기본10이며 앞의 CH23S01·S03에서 도착한 79심화9·77심화9도 이 지점에서 처음 푼다. 한 번에 한 원문씩 제시한다. 오답 선지의 공산·일리천 등 후속 사건은 지금 정답 판단에 필요하지 않으므로 상세 해설을 CH23S10의 후대 기록 뒤로 미룬다.</x:v>
      </x:c>
    </x:row>
    <x:row r="217" ht="53.25" customHeight="1">
      <x:c r="A217" s="10" t="str">
        <x:v>CH23</x:v>
      </x:c>
      <x:c r="B217" s="10" t="str">
        <x:v>THR-C23-S06</x:v>
      </x:c>
      <x:c r="C217" s="13" t="str">
        <x:v>미륵이라는 이름</x:v>
      </x:c>
      <x:c r="D217" s="13" t="str">
        <x:v>궁예의 미륵 자처와 종교를 통한 왕권 강화, 신자 개인의 두려움.</x:v>
      </x:c>
      <x:c r="E217" s="34" t="str">
        <x:v>61회 심화 11번</x:v>
      </x:c>
      <x:c r="F217" s="35" t="n">
        <x:v>2</x:v>
      </x:c>
      <x:c r="G217" s="49" t="str">
        <x:v>직접</x:v>
      </x:c>
      <x:c r="H217" s="13" t="str">
        <x:v>C23-S08
공통 연결 뒤</x:v>
      </x:c>
      <x:c r="I217" s="13" t="str">
        <x:v>자료·정답선지②</x:v>
      </x:c>
      <x:c r="J217" s="13" t="str">
        <x:v>태봉·철원은 앞 씬, 궁예의 미륵 자처는 이번 공통 대사에 나와 원문 정답을 판단할 수 있다. 주민의 마지막 발화를 마친 뒤 CH23S08의 기록 정리 지점에 모아 출제한다.</x:v>
      </x:c>
      <x:c r="K217" s="13" t="str">
        <x:v>—</x:v>
      </x:c>
      <x:c r="L217" s="13" t="str">
        <x:v>—</x:v>
      </x:c>
      <x:c r="M217" s="13" t="str">
        <x:v>궁예에 대한 현대 질환명을 정답이나 설명으로 덧붙이지 않는다. CH22의 거란 선지 연결과 같은 문항·같은 지점으로 합쳐 한 번 출제한다.</x:v>
      </x:c>
    </x:row>
    <x:row r="218" ht="67.5" customHeight="1">
      <x:c r="A218" s="15" t="str">
        <x:v>CH23</x:v>
      </x:c>
      <x:c r="B218" s="15" t="str">
        <x:v>THR-C23-S07</x:v>
      </x:c>
      <x:c r="C218" s="16" t="str">
        <x:v>918년의 망설임</x:v>
      </x:c>
      <x:c r="D218" s="16" t="str">
        <x:v>918년 왕건의 고려 건국·천수와 궁예 휘하 장수였던 이전 시기의 구별.</x:v>
      </x:c>
      <x:c r="E218" s="32" t="str">
        <x:v>77회 심화 9번</x:v>
      </x:c>
      <x:c r="F218" s="33" t="n">
        <x:v>2</x:v>
      </x:c>
      <x:c r="G218" s="39" t="str">
        <x:v>관련복습</x:v>
      </x:c>
      <x:c r="H218" s="16" t="str">
        <x:v>C23-S09
공통 연결 뒤</x:v>
      </x:c>
      <x:c r="I218" s="16" t="str">
        <x:v>자료</x:v>
      </x:c>
      <x:c r="J218" s="16" t="str">
        <x:v>왕건이 왕이 되기 전 궁예의 장수였다는 원문 자료를 다시 읽어 왕건의 활동과 그에게 명령한 궁예의 정책을 구별한다. 고려 건국 자체를 직접 묻는 문항은 아니며 송악 천도까지 본 뒤 복습한다.</x:v>
      </x:c>
      <x:c r="K218" s="16" t="str">
        <x:v>—</x:v>
      </x:c>
      <x:c r="L218" s="16" t="str">
        <x:v>—</x:v>
      </x:c>
      <x:c r="M218" s="16" t="str">
        <x:v>918년·천수를 이 문제의 정답으로 바꾸지 않는다. 본문에 없는 흑창·사심관을 가르쳐야 풀리는 고려 태조 정책 문항은 필수 출제에 넣지 않는다.</x:v>
      </x:c>
    </x:row>
    <x:row r="219" ht="67.5" customHeight="1">
      <x:c r="A219" s="10" t="str">
        <x:v>CH23</x:v>
      </x:c>
      <x:c r="B219" s="10" t="str">
        <x:v>THR-C23-S08</x:v>
      </x:c>
      <x:c r="C219" s="13" t="str">
        <x:v>북쪽 사람의 다음 자리</x:v>
      </x:c>
      <x:c r="D219" s="13" t="str">
        <x:v>918년 고려 건국·926년 발해 멸망·934년 유민 귀부의 실제 순서를 재정렬한다.</x:v>
      </x:c>
      <x:c r="E219" s="34" t="str">
        <x:v>61회 심화 11번</x:v>
      </x:c>
      <x:c r="F219" s="35" t="n">
        <x:v>2</x:v>
      </x:c>
      <x:c r="G219" s="48" t="str">
        <x:v>선지학습</x:v>
      </x:c>
      <x:c r="H219" s="13" t="str">
        <x:v>C23-S08
공통 연결 뒤</x:v>
      </x:c>
      <x:c r="I219" s="13" t="str">
        <x:v>오답선지①</x:v>
      </x:c>
      <x:c r="J219" s="13" t="str">
        <x:v>원문 ①에 있는 발해를 멸망시킨 거란을 CH22에서 확인했고, 궁예의 미륵 자처도 CH23S06에서 배웠다. 이제 원문의 주체가 궁예임을 지켜 정답 ②를 고르는 비교가 가능하다.</x:v>
      </x:c>
      <x:c r="K219" s="13" t="str">
        <x:v>—</x:v>
      </x:c>
      <x:c r="L219" s="13" t="str">
        <x:v>—</x:v>
      </x:c>
      <x:c r="M219" s="13" t="str">
        <x:v>이 문항은 대광현 귀부나 고려의 발해 유민 수용 자체를 직접 묻지 않는다. 거란 적대 정책의 세부 사건·연도는 새로 가르치지 않으며, 정답인 궁예의 활동을 중심으로 해설한다.</x:v>
      </x:c>
    </x:row>
    <x:row r="220" ht="67.5" customHeight="1">
      <x:c r="A220" s="15" t="str">
        <x:v>CH23</x:v>
      </x:c>
      <x:c r="B220" s="15" t="str">
        <x:v>THR-C23-S09</x:v>
      </x:c>
      <x:c r="C220" s="16" t="str">
        <x:v>송악으로 옮긴 도읍</x:v>
      </x:c>
      <x:c r="D220" s="16" t="str">
        <x:v>919년 왕건의 송악 천도와 궁예의 반대 방향 천도를 구별한다.</x:v>
      </x:c>
      <x:c r="E220" s="32" t="str">
        <x:v>69회 기본 10번</x:v>
      </x:c>
      <x:c r="F220" s="33" t="n">
        <x:v>3</x:v>
      </x:c>
      <x:c r="G220" s="39" t="str">
        <x:v>관련복습</x:v>
      </x:c>
      <x:c r="H220" s="16" t="str">
        <x:v>C23-S09
공통 연결 뒤</x:v>
      </x:c>
      <x:c r="I220" s="16" t="str">
        <x:v>자료·정답선지③</x:v>
      </x:c>
      <x:c r="J220" s="16" t="str">
        <x:v>원문은 궁예의 송악→철원 천도와 태봉을 묻는다. 이번 씬의 왕건·919년 철원→송악 이동과 방향·인물을 비교하면 비슷한 도읍명 때문에 두 사건을 합치는 오류를 점검할 수 있다.</x:v>
      </x:c>
      <x:c r="K220" s="16" t="str">
        <x:v>—</x:v>
      </x:c>
      <x:c r="L220" s="16" t="str">
        <x:v>—</x:v>
      </x:c>
      <x:c r="M220" s="16" t="str">
        <x:v>원문 정답을 고려나 왕건으로 교체하지 않는다. 이전에 푼 문항의 재등장은 선택 복습으로 표시하며 시온 가족의 마지막 응답을 먼저 마친다.</x:v>
      </x:c>
    </x:row>
    <x:row r="221" ht="124.5" customHeight="1">
      <x:c r="A221" s="11" t="str">
        <x:v>CH23</x:v>
      </x:c>
      <x:c r="B221" s="11" t="str">
        <x:v>THR-C23-S10</x:v>
      </x:c>
      <x:c r="C221" s="14" t="str">
        <x:v>덮지 않는 마지막 장</x:v>
      </x:c>
      <x:c r="D221" s="14" t="str">
        <x:v>919년의 서사를 마치고 후속 기록의 후백제 외교·935년 신라 귀부·936년 일리천과 통일을 확인한다.</x:v>
      </x:c>
      <x:c r="E221" s="36" t="str">
        <x:v>74회 심화 10번</x:v>
      </x:c>
      <x:c r="F221" s="37" t="n">
        <x:v>4</x:v>
      </x:c>
      <x:c r="G221" s="58" t="str">
        <x:v>직접</x:v>
      </x:c>
      <x:c r="H221" s="14" t="str">
        <x:v>C23-S10
공통 연결 뒤</x:v>
      </x:c>
      <x:c r="I221" s="14" t="str">
        <x:v>자료·정답선지④</x:v>
      </x:c>
      <x:c r="J221" s="14" t="str">
        <x:v>현대 후속 연표가 935년 신라 귀부와 936년 일리천 전투·왕건 측 승리·후삼국 통일을 명시한다. 신라 항복 뒤 일리천에서 신검의 군대를 물리쳤다는 원문 정답을 판단할 수 있다.</x:v>
      </x:c>
      <x:c r="K221" s="14" t="str">
        <x:v>1. 79회 심화 9번 · ⑤
선지학습 · 오답선지③
→ C23-S10 공통 연결 뒤</x:v>
      </x:c>
      <x:c r="L221" s="14" t="str">
        <x:v>—</x:v>
      </x:c>
      <x:c r="M221" s="14" t="str">
        <x:v>두 현대 후속 기록을 모두 탭으로 읽은 뒤에만 74회 심화 10번을 대표로 출제한다. 79회 심화 9번은 선택 복습 후보다. 추가 검토 후보 78회 심화 10번은 본문에 신숭겸=공산의 연결이 없으므로 현재 실제 출제 대상으로 편성하지 않았다. 66회 심화 9번·73회 기본 10번·76회 심화 10번은 신검의 금산사 유폐·견훤 귀부 자료를, 70회 심화 10번·75회 기본 12번은 사심관을, 67회 기본 11번은 흑창을 본문에서 배우지 않아 채택하지 않았다. 없는 사건이나 정답을 preQuizHint 한 줄로 추가하지 않는다.</x:v>
      </x:c>
    </x:row>
  </x:sheetData>
  <x:pageMargins left="0.7" right="0.7" top="0.75" bottom="0.75" header="0.3" footer="0.3"/>
  <x:tableParts count="1">
    <x:tablePart xmlns:r="http://schemas.openxmlformats.org/officeDocument/2006/relationships" r:id="Rab731d0f5cff498f"/>
  </x:tableParts>
</x:worksheet>
</file>

<file path=xl/worksheets/sheet2.xml><?xml version="1.0" encoding="utf-8"?>
<x:worksheet xmlns:x="http://schemas.openxmlformats.org/spreadsheetml/2006/main">
  <x:sheetPr>
    <x:tabColor rgb="FF203F52"/>
  </x:sheetPr>
  <x:sheetViews>
    <x:sheetView showGridLines="0" workbookViewId="0">
      <x:pane xSplit="2" ySplit="6" topLeftCell="C7" activePane="bottomRight" state="frozen"/>
    </x:sheetView>
  </x:sheetViews>
  <x:sheetFormatPr defaultRowHeight="15"/>
  <x:cols>
    <x:col min="1" max="1" width="6.440000057220459" hidden="0" customWidth="1"/>
    <x:col min="2" max="2" width="21.110000610351562" hidden="0" customWidth="1"/>
    <x:col min="3" max="3" width="23.670000076293945" hidden="0" customWidth="1"/>
    <x:col min="4" max="4" width="6.889999866485596" hidden="0" customWidth="1"/>
    <x:col min="5" max="5" width="8" hidden="0" customWidth="1"/>
    <x:col min="6" max="6" width="6.440000057220459" hidden="0" customWidth="1"/>
    <x:col min="7" max="7" width="6.440000057220459" hidden="0" customWidth="1"/>
    <x:col min="8" max="8" width="10.670000076293945" hidden="0" customWidth="1"/>
    <x:col min="9" max="9" width="28.329999923706055" hidden="0" customWidth="1"/>
    <x:col min="10" max="10" width="34.439998626708984" hidden="0" customWidth="1"/>
    <x:col min="11" max="11" width="44.88999938964844" hidden="0" customWidth="1"/>
    <x:col min="12" max="12" width="42.560001373291016" hidden="0" customWidth="1"/>
    <x:col min="13" max="13" width="41.779998779296875" hidden="0" customWidth="1"/>
    <x:col min="14" max="14" width="27.559999465942383" hidden="0" customWidth="1"/>
  </x:cols>
  <x:sheetData>
    <x:row r="1" ht="9" customHeight="1">
      <x:c r="A1" s="3"/>
      <x:c r="B1" s="3"/>
      <x:c r="C1" s="3"/>
      <x:c r="D1" s="3"/>
      <x:c r="E1" s="3"/>
      <x:c r="F1" s="3"/>
      <x:c r="G1" s="3"/>
      <x:c r="H1" s="3"/>
      <x:c r="I1" s="3"/>
      <x:c r="J1" s="3"/>
      <x:c r="K1" s="3"/>
      <x:c r="L1" s="3"/>
      <x:c r="M1" s="3"/>
      <x:c r="N1" s="3"/>
    </x:row>
    <x:row r="2" ht="25.5" customHeight="1">
      <x:c r="A2" s="17" t="str">
        <x:v>실제 출제 순서</x:v>
      </x:c>
      <x:c r="B2" s="3"/>
      <x:c r="C2" s="3"/>
      <x:c r="D2" s="18" t="str">
        <x:v>기준: 각 씬의 대표 연결 · 공통 연결 종료 후</x:v>
      </x:c>
      <x:c r="E2" s="3"/>
      <x:c r="F2" s="3"/>
      <x:c r="G2" s="3"/>
      <x:c r="H2" s="3"/>
      <x:c r="I2" s="3"/>
      <x:c r="J2" s="3"/>
      <x:c r="K2" s="3"/>
      <x:c r="L2" s="3"/>
      <x:c r="M2" s="3"/>
      <x:c r="N2" s="3"/>
    </x:row>
    <x:row r="3" ht="20.25" customHeight="1">
      <x:c r="A3" s="18" t="str">
        <x:v>첫출제</x:v>
      </x:c>
      <x:c r="B3" s="21" t="n">
        <x:f>COUNTIF(H7:H105,"첫출제")</x:f>
        <x:v>77</x:v>
      </x:c>
      <x:c r="C3" s="18" t="str">
        <x:v>복습 후보</x:v>
      </x:c>
      <x:c r="D3" s="21" t="n">
        <x:f>COUNTIF(H7:H105,"복습후보")</x:f>
        <x:v>22</x:v>
      </x:c>
      <x:c r="E3" s="3"/>
      <x:c r="F3" s="3"/>
      <x:c r="G3" s="3"/>
      <x:c r="H3" s="3"/>
      <x:c r="I3" s="18" t="str">
        <x:v>전체 배치 행</x:v>
      </x:c>
      <x:c r="J3" s="21" t="n">
        <x:f>COUNT(A7:A105)</x:f>
        <x:v>99</x:v>
      </x:c>
      <x:c r="K3" s="3"/>
      <x:c r="L3" s="3"/>
      <x:c r="M3" s="3"/>
      <x:c r="N3" s="3"/>
    </x:row>
    <x:row r="4" ht="20.25" customHeight="1">
      <x:c r="A4" s="18" t="str">
        <x:v>같은 문항·같은 풀이 씬은 1행으로 합쳤습니다. 첫출제는 기본 진행, 복습후보는 선택 재풀이입니다.</x:v>
      </x:c>
      <x:c r="B4" s="3"/>
      <x:c r="C4" s="3"/>
      <x:c r="D4" s="3"/>
      <x:c r="E4" s="3"/>
      <x:c r="F4" s="3"/>
      <x:c r="G4" s="3"/>
      <x:c r="H4" s="3"/>
      <x:c r="I4" s="3"/>
      <x:c r="J4" s="3"/>
      <x:c r="K4" s="3"/>
      <x:c r="L4" s="3"/>
      <x:c r="M4" s="3"/>
      <x:c r="N4" s="3"/>
    </x:row>
    <x:row r="5" ht="9" customHeight="1">
      <x:c r="A5" s="3"/>
      <x:c r="B5" s="3"/>
      <x:c r="C5" s="3"/>
      <x:c r="D5" s="3"/>
      <x:c r="E5" s="3"/>
      <x:c r="F5" s="3"/>
      <x:c r="G5" s="3"/>
      <x:c r="H5" s="3"/>
      <x:c r="I5" s="3"/>
      <x:c r="J5" s="3"/>
      <x:c r="K5" s="3"/>
      <x:c r="L5" s="3"/>
      <x:c r="M5" s="3"/>
      <x:c r="N5" s="3"/>
    </x:row>
    <x:row r="6" ht="30" customHeight="1">
      <x:c r="A6" s="7" t="str">
        <x:v>순서</x:v>
      </x:c>
      <x:c r="B6" s="7" t="str">
        <x:v>전체 문제 풀이 씬</x:v>
      </x:c>
      <x:c r="C6" s="7" t="str">
        <x:v>씬 제목</x:v>
      </x:c>
      <x:c r="D6" s="7" t="str">
        <x:v>회차</x:v>
      </x:c>
      <x:c r="E6" s="7" t="str">
        <x:v>유형</x:v>
      </x:c>
      <x:c r="F6" s="7" t="str">
        <x:v>문항</x:v>
      </x:c>
      <x:c r="G6" s="7" t="str">
        <x:v>정답</x:v>
      </x:c>
      <x:c r="H6" s="7" t="str">
        <x:v>출제 구분</x:v>
      </x:c>
      <x:c r="I6" s="7" t="str">
        <x:v>문항 핵심</x:v>
      </x:c>
      <x:c r="J6" s="7" t="str">
        <x:v>함께 연결된 씬</x:v>
      </x:c>
      <x:c r="K6" s="7" t="str">
        <x:v>이 발화가 끝난 뒤 출제</x:v>
      </x:c>
      <x:c r="L6" s="7" t="str">
        <x:v>문제 직전 기록책 제안</x:v>
      </x:c>
      <x:c r="M6" s="7" t="str">
        <x:v>이 시점에 제공할 해설</x:v>
      </x:c>
      <x:c r="N6" s="7" t="str">
        <x:v>문항 ID</x:v>
      </x:c>
    </x:row>
    <x:row r="7" ht="53.25" customHeight="1">
      <x:c r="A7" s="26" t="n">
        <x:v>1</x:v>
      </x:c>
      <x:c r="B7" s="12" t="str">
        <x:v>THR-C01-S06</x:v>
      </x:c>
      <x:c r="C7" s="12" t="str">
        <x:v>첫 대여 장부</x:v>
      </x:c>
      <x:c r="D7" s="26" t="n">
        <x:v>64</x:v>
      </x:c>
      <x:c r="E7" s="59" t="str">
        <x:v>심화</x:v>
      </x:c>
      <x:c r="F7" s="26" t="n">
        <x:v>3</x:v>
      </x:c>
      <x:c r="G7" s="26" t="n">
        <x:v>3</x:v>
      </x:c>
      <x:c r="H7" s="63" t="str">
        <x:v>첫출제</x:v>
      </x:c>
      <x:c r="I7" s="12" t="str">
        <x:v>고구려의 진대법</x:v>
      </x:c>
      <x:c r="J7" s="12" t="str">
        <x:v>C01-S01, C01-S02, C01-S03, C01-S04, C01-S05, C01-S06</x:v>
      </x:c>
      <x:c r="K7" s="12" t="str">
        <x:v>서아: “이름 옆에 오늘 확인한 양과 날짜를 남겨 둘게요.”</x:v>
      </x:c>
      <x:c r="L7" s="12" t="str">
        <x:v>기록책: 문제에 나온 안악 3호분 벽화는 고구려의 자료다. 이 나라가 굶주린 백성에게 마련한 제도를 지금 본 장부와 연결해 보자.</x:v>
      </x:c>
      <x:c r="M7" s="12" t="str">
        <x:v>안악 3호분 벽화, 경당, 제가 회의는 고구려를 가리킨다. 고국천왕 때 진대법을 마련하여 곤궁한 백성에게 관곡을 빌려주고 수확 뒤 상환하게 하였다.</x:v>
      </x:c>
      <x:c r="N7" s="12" t="str">
        <x:v>official-64-advanced-03</x:v>
      </x:c>
    </x:row>
    <x:row r="8" ht="53.25" customHeight="1">
      <x:c r="A8" s="27" t="n">
        <x:v>2</x:v>
      </x:c>
      <x:c r="B8" s="16" t="str">
        <x:v>THR-C01-S08</x:v>
      </x:c>
      <x:c r="C8" s="16" t="str">
        <x:v>남겨진 이름</x:v>
      </x:c>
      <x:c r="D8" s="27" t="n">
        <x:v>64</x:v>
      </x:c>
      <x:c r="E8" s="60" t="str">
        <x:v>심화</x:v>
      </x:c>
      <x:c r="F8" s="27" t="n">
        <x:v>3</x:v>
      </x:c>
      <x:c r="G8" s="27" t="n">
        <x:v>3</x:v>
      </x:c>
      <x:c r="H8" s="64" t="str">
        <x:v>복습후보</x:v>
      </x:c>
      <x:c r="I8" s="16" t="str">
        <x:v>고구려의 진대법</x:v>
      </x:c>
      <x:c r="J8" s="16" t="str">
        <x:v>C01-S07, C01-S08</x:v>
      </x:c>
      <x:c r="K8" s="16" t="str">
        <x:v>서아: “다시 만날 수 없어도…… 없었던 사람처럼 지나가지는 않을게요.”</x:v>
      </x:c>
      <x:c r="L8" s="16" t="str">
        <x:v>—</x:v>
      </x:c>
      <x:c r="M8" s="16" t="str">
        <x:v>안악 3호분 벽화, 경당, 제가 회의는 고구려를 가리킨다. 고국천왕 때 진대법을 마련하여 곤궁한 백성에게 관곡을 빌려주고 수확 뒤 상환하게 하였다.</x:v>
      </x:c>
      <x:c r="N8" s="16" t="str">
        <x:v>official-64-advanced-03</x:v>
      </x:c>
    </x:row>
    <x:row r="9" ht="53.25" customHeight="1">
      <x:c r="A9" s="28" t="n">
        <x:v>3</x:v>
      </x:c>
      <x:c r="B9" s="13" t="str">
        <x:v>THR-C02-S07</x:v>
      </x:c>
      <x:c r="C9" s="13" t="str">
        <x:v>화살 뒤의 침묵</x:v>
      </x:c>
      <x:c r="D9" s="28" t="n">
        <x:v>64</x:v>
      </x:c>
      <x:c r="E9" s="61" t="str">
        <x:v>기본</x:v>
      </x:c>
      <x:c r="F9" s="28" t="n">
        <x:v>3</x:v>
      </x:c>
      <x:c r="G9" s="28" t="n">
        <x:v>3</x:v>
      </x:c>
      <x:c r="H9" s="49" t="str">
        <x:v>첫출제</x:v>
      </x:c>
      <x:c r="I9" s="13" t="str">
        <x:v>근초고왕의 고국원왕 전사</x:v>
      </x:c>
      <x:c r="J9" s="13" t="str">
        <x:v>C02-S07</x:v>
      </x:c>
      <x:c r="K9" s="13" t="str">
        <x:v>전령 태수: “살아남은 사람에게도 다음 날이 있어야 하니…… 부탁하오.”</x:v>
      </x:c>
      <x:c r="L9" s="13" t="str">
        <x:v>—</x:v>
      </x:c>
      <x:c r="M9" s="13" t="str">
        <x:v>근초고왕의 군대는 371년 고구려 평양성을 공격했고 고국원왕이 전사하였다. 사비 천도는 성왕, 22담로는 무령왕과 구별한다.</x:v>
      </x:c>
      <x:c r="N9" s="13" t="str">
        <x:v>official-64-basic-03</x:v>
      </x:c>
    </x:row>
    <x:row r="10" ht="53.25" customHeight="1">
      <x:c r="A10" s="27" t="n">
        <x:v>4</x:v>
      </x:c>
      <x:c r="B10" s="16" t="str">
        <x:v>THR-C02-S08</x:v>
      </x:c>
      <x:c r="C10" s="16" t="str">
        <x:v>다음 왕의 빈 자리</x:v>
      </x:c>
      <x:c r="D10" s="27" t="n">
        <x:v>73</x:v>
      </x:c>
      <x:c r="E10" s="60" t="str">
        <x:v>기본</x:v>
      </x:c>
      <x:c r="F10" s="27" t="n">
        <x:v>5</x:v>
      </x:c>
      <x:c r="G10" s="27" t="n">
        <x:v>3</x:v>
      </x:c>
      <x:c r="H10" s="49" t="str">
        <x:v>첫출제</x:v>
      </x:c>
      <x:c r="I10" s="16" t="str">
        <x:v>전진의 불교를 수용하고 태학을 설립한 고구려 왕을 고른다</x:v>
      </x:c>
      <x:c r="J10" s="16" t="str">
        <x:v>C02-S08</x:v>
      </x:c>
      <x:c r="K10" s="16" t="str">
        <x:v>서아: “이번에는 제가 먼저 겁먹은 사람의 말을 들어 볼게요.”</x:v>
      </x:c>
      <x:c r="L10" s="16" t="str">
        <x:v>—</x:v>
      </x:c>
      <x:c r="M10" s="16" t="str">
        <x:v>371~384년에 재위하며 전진에서 불교를 받아들이고 태학을 세운 왕은 소수림왕이다. 따라서 ③이 정답이다. 같은 고구려 왕인 미천왕·장수왕·광개토대왕과 업적을 구분해야 한다.</x:v>
      </x:c>
      <x:c r="N10" s="16" t="str">
        <x:v>official-73-basic-05</x:v>
      </x:c>
    </x:row>
    <x:row r="11" ht="42" customHeight="1">
      <x:c r="A11" s="28" t="n">
        <x:v>5</x:v>
      </x:c>
      <x:c r="B11" s="13" t="str">
        <x:v>THR-C03-S02</x:v>
      </x:c>
      <x:c r="C11" s="13" t="str">
        <x:v>태학의 문턱</x:v>
      </x:c>
      <x:c r="D11" s="28" t="n">
        <x:v>68</x:v>
      </x:c>
      <x:c r="E11" s="61" t="str">
        <x:v>심화</x:v>
      </x:c>
      <x:c r="F11" s="28" t="n">
        <x:v>8</x:v>
      </x:c>
      <x:c r="G11" s="28" t="n">
        <x:v>1</x:v>
      </x:c>
      <x:c r="H11" s="49" t="str">
        <x:v>첫출제</x:v>
      </x:c>
      <x:c r="I11" s="13" t="str">
        <x:v>전진의 순도가 불상과 경문을 전한 왕을 소수림왕으로 식별하고 태학을 연결한다</x:v>
      </x:c>
      <x:c r="J11" s="13" t="str">
        <x:v>C02-S08, C03-S01, C03-S02</x:v>
      </x:c>
      <x:c r="K11" s="13" t="str">
        <x:v>서아: “그 말, 제가 오래 기억할게요.”</x:v>
      </x:c>
      <x:c r="L11" s="13" t="str">
        <x:v>—</x:v>
      </x:c>
      <x:c r="M11" s="13" t="str">
        <x:v>고국원왕의 아들 구부는 소수림왕이다. 소수림왕은 전진을 통해 불교를 받아들이고 태학을 세웠으므로 ①이 옳다.</x:v>
      </x:c>
      <x:c r="N11" s="13" t="str">
        <x:v>official-68-advanced-08</x:v>
      </x:c>
    </x:row>
    <x:row r="12" ht="53.25" customHeight="1">
      <x:c r="A12" s="27" t="n">
        <x:v>6</x:v>
      </x:c>
      <x:c r="B12" s="16" t="str">
        <x:v>THR-C03-S03</x:v>
      </x:c>
      <x:c r="C12" s="16" t="str">
        <x:v>하나의 죄 두 판결</x:v>
      </x:c>
      <x:c r="D12" s="27" t="n">
        <x:v>65</x:v>
      </x:c>
      <x:c r="E12" s="60" t="str">
        <x:v>심화</x:v>
      </x:c>
      <x:c r="F12" s="27" t="n">
        <x:v>5</x:v>
      </x:c>
      <x:c r="G12" s="27" t="n">
        <x:v>3</x:v>
      </x:c>
      <x:c r="H12" s="49" t="str">
        <x:v>첫출제</x:v>
      </x:c>
      <x:c r="I12" s="16" t="str">
        <x:v>고국원왕 전사 뒤 소수림왕의 개혁</x:v>
      </x:c>
      <x:c r="J12" s="16" t="str">
        <x:v>C02-S01, C02-S02, C02-S03, C02-S04, C02-S05, C02-S06, C02-S07, C03-S03</x:v>
      </x:c>
      <x:c r="K12" s="16" t="str">
        <x:v>율령 담당관: “그 요구도 함께 남기겠소. 법을 안다는 사람이 물을 일이니.”</x:v>
      </x:c>
      <x:c r="L12" s="16" t="str">
        <x:v>—</x:v>
      </x:c>
      <x:c r="M12" s="16" t="str">
        <x:v>고국원왕 전사 뒤 즉위한 소수림왕은 불교를 받아들이고 율령을 반포하여 나라를 정비하였다. 미천왕과 고국천왕의 업적은 제시된 사건보다 앞선다.</x:v>
      </x:c>
      <x:c r="N12" s="16" t="str">
        <x:v>official-65-advanced-05</x:v>
      </x:c>
    </x:row>
    <x:row r="13" ht="53.25" customHeight="1">
      <x:c r="A13" s="28" t="n">
        <x:v>7</x:v>
      </x:c>
      <x:c r="B13" s="13" t="str">
        <x:v>THR-C03-S03</x:v>
      </x:c>
      <x:c r="C13" s="13" t="str">
        <x:v>하나의 죄 두 판결</x:v>
      </x:c>
      <x:c r="D13" s="28" t="n">
        <x:v>62</x:v>
      </x:c>
      <x:c r="E13" s="61" t="str">
        <x:v>심화</x:v>
      </x:c>
      <x:c r="F13" s="28" t="n">
        <x:v>4</x:v>
      </x:c>
      <x:c r="G13" s="28" t="n">
        <x:v>5</x:v>
      </x:c>
      <x:c r="H13" s="49" t="str">
        <x:v>첫출제</x:v>
      </x:c>
      <x:c r="I13" s="13" t="str">
        <x:v>소수림왕의 율령 반포</x:v>
      </x:c>
      <x:c r="J13" s="13" t="str">
        <x:v>C03-S03</x:v>
      </x:c>
      <x:c r="K13" s="13" t="str">
        <x:v>율령 담당관: “그 요구도 함께 남기겠소. 법을 안다는 사람이 물을 일이니.”</x:v>
      </x:c>
      <x:c r="L13" s="13" t="str">
        <x:v>—</x:v>
      </x:c>
      <x:c r="M13" s="13" t="str">
        <x:v>소수림왕은 372년 불교를 수용하고 태학을 세웠으며, 373년 율령을 반포하였다. 전쟁 뒤 고구려 통치 체제를 정비한 정책 묶음이다.</x:v>
      </x:c>
      <x:c r="N13" s="13" t="str">
        <x:v>official-62-advanced-04</x:v>
      </x:c>
    </x:row>
    <x:row r="14" ht="53.25" customHeight="1">
      <x:c r="A14" s="27" t="n">
        <x:v>8</x:v>
      </x:c>
      <x:c r="B14" s="16" t="str">
        <x:v>THR-C03-S07</x:v>
      </x:c>
      <x:c r="C14" s="16" t="str">
        <x:v>신라의 급한 편지</x:v>
      </x:c>
      <x:c r="D14" s="27" t="n">
        <x:v>61</x:v>
      </x:c>
      <x:c r="E14" s="60" t="str">
        <x:v>심화</x:v>
      </x:c>
      <x:c r="F14" s="27" t="n">
        <x:v>4</x:v>
      </x:c>
      <x:c r="G14" s="27" t="n">
        <x:v>1</x:v>
      </x:c>
      <x:c r="H14" s="49" t="str">
        <x:v>첫출제</x:v>
      </x:c>
      <x:c r="I14" s="16" t="str">
        <x:v>광개토대왕의 영락 연호와 다른 고구려 왕의 업적</x:v>
      </x:c>
      <x:c r="J14" s="16" t="str">
        <x:v>C01-S03, C01-S04, C01-S06, C02-S03, C02-S05, C03-S04, C03-S05, C03-S06, C03-S07</x:v>
      </x:c>
      <x:c r="K14" s="16" t="str">
        <x:v>서아: “그 안에서 서로를 찾아온 사람들도 함께 남길게요.”</x:v>
      </x:c>
      <x:c r="L14" s="16" t="str">
        <x:v>—</x:v>
      </x:c>
      <x:c r="M14" s="16" t="str">
        <x:v>관미성 공격과 신라 구원은 광개토대왕의 활동이다. 태학은 소수림왕, 낙랑군 축출은 미천왕, 을파소·진대법은 고국천왕의 업적으로 구별한다.</x:v>
      </x:c>
      <x:c r="N14" s="16" t="str">
        <x:v>official-61-advanced-04</x:v>
      </x:c>
    </x:row>
    <x:row r="15" ht="42" customHeight="1">
      <x:c r="A15" s="28" t="n">
        <x:v>9</x:v>
      </x:c>
      <x:c r="B15" s="13" t="str">
        <x:v>THR-C03-S07</x:v>
      </x:c>
      <x:c r="C15" s="13" t="str">
        <x:v>신라의 급한 편지</x:v>
      </x:c>
      <x:c r="D15" s="28" t="n">
        <x:v>66</x:v>
      </x:c>
      <x:c r="E15" s="61" t="str">
        <x:v>심화</x:v>
      </x:c>
      <x:c r="F15" s="28" t="n">
        <x:v>4</x:v>
      </x:c>
      <x:c r="G15" s="28" t="n">
        <x:v>4</x:v>
      </x:c>
      <x:c r="H15" s="49" t="str">
        <x:v>첫출제</x:v>
      </x:c>
      <x:c r="I15" s="13" t="str">
        <x:v>신라에 침입한 왜를 물리친 고구려 왕의 업적을 고른다</x:v>
      </x:c>
      <x:c r="J15" s="13" t="str">
        <x:v>C03-S05, C03-S07</x:v>
      </x:c>
      <x:c r="K15" s="13" t="str">
        <x:v>서아: “그 안에서 서로를 찾아온 사람들도 함께 남길게요.”</x:v>
      </x:c>
      <x:c r="L15" s="13" t="str">
        <x:v>—</x:v>
      </x:c>
      <x:c r="M15" s="13" t="str">
        <x:v>신라에 군대를 보내 왜를 물리친 왕은 광개토대왕이다. 광개토대왕은 영락이라는 독자적 연호를 사용했으므로 ④가 옳다.</x:v>
      </x:c>
      <x:c r="N15" s="13" t="str">
        <x:v>official-66-advanced-04</x:v>
      </x:c>
    </x:row>
    <x:row r="16" ht="53.25" customHeight="1">
      <x:c r="A16" s="27" t="n">
        <x:v>10</x:v>
      </x:c>
      <x:c r="B16" s="16" t="str">
        <x:v>THR-C03-S08</x:v>
      </x:c>
      <x:c r="C16" s="16" t="str">
        <x:v>구원 뒤의 그림자</x:v>
      </x:c>
      <x:c r="D16" s="27" t="n">
        <x:v>67</x:v>
      </x:c>
      <x:c r="E16" s="60" t="str">
        <x:v>기본</x:v>
      </x:c>
      <x:c r="F16" s="27" t="n">
        <x:v>3</x:v>
      </x:c>
      <x:c r="G16" s="27" t="n">
        <x:v>4</x:v>
      </x:c>
      <x:c r="H16" s="49" t="str">
        <x:v>첫출제</x:v>
      </x:c>
      <x:c r="I16" s="16" t="str">
        <x:v>거란·숙신·후연·동부여를 정벌한 고구려 왕의 업적을 고른다</x:v>
      </x:c>
      <x:c r="J16" s="16" t="str">
        <x:v>C03-S08</x:v>
      </x:c>
      <x:c r="K16" s="16" t="str">
        <x:v>서아: “같이 주워 드릴게요. 아직 이어갈 장사가 남아 있으니까요.”</x:v>
      </x:c>
      <x:c r="L16" s="16" t="str">
        <x:v>—</x:v>
      </x:c>
      <x:c r="M16" s="16" t="str">
        <x:v>자료의 고구려 제19대 왕은 광개토대왕이다. 광개토대왕은 신라에 침입한 왜를 물리치기 위해 군대를 보냈으므로 ④가 옳다. 태학 설립은 소수림왕, 평양 천도는 장수왕의 업적이다.</x:v>
      </x:c>
      <x:c r="N16" s="16" t="str">
        <x:v>official-67-basic-03</x:v>
      </x:c>
    </x:row>
    <x:row r="17" ht="67.5" customHeight="1">
      <x:c r="A17" s="28" t="n">
        <x:v>11</x:v>
      </x:c>
      <x:c r="B17" s="13" t="str">
        <x:v>THR-C03-S09</x:v>
      </x:c>
      <x:c r="C17" s="13" t="str">
        <x:v>돌에 새긴 공적</x:v>
      </x:c>
      <x:c r="D17" s="28" t="n">
        <x:v>77</x:v>
      </x:c>
      <x:c r="E17" s="61" t="str">
        <x:v>심화</x:v>
      </x:c>
      <x:c r="F17" s="28" t="n">
        <x:v>13</x:v>
      </x:c>
      <x:c r="G17" s="28" t="n">
        <x:v>4</x:v>
      </x:c>
      <x:c r="H17" s="49" t="str">
        <x:v>첫출제</x:v>
      </x:c>
      <x:c r="I17" s="65" t="str">
        <x:v>고려 문화유산을 고르는 부정형 문항에서 삼국 시대 호우명 그릇을 판별</x:v>
      </x:c>
      <x:c r="J17" s="13" t="str">
        <x:v>C03-S09</x:v>
      </x:c>
      <x:c r="K17" s="13" t="str">
        <x:v>서아: “400년의 신라 구원,414년의 광개토대왕릉비,415년 명문의 호우명 그릇…… 이어지는 흔적이지만 같은 해의 일은 아니구나.”</x:v>
      </x:c>
      <x:c r="L17" s="13" t="str">
        <x:v>—</x:v>
      </x:c>
      <x:c r="M17" s="13" t="str">
        <x:v>자료의 국가는 고려지만, ④는 경주 호우총에서 출토된 광개토대왕명 청동그릇이다. 이 삼국 시대 유물을 알아보면 고려 유물이 아닌 선지를 판별할 수 있다. 출토지가 신라라는 사실과 고구려 관련 제작·명문 정보를 구별해야 한다.</x:v>
      </x:c>
      <x:c r="N17" s="13" t="str">
        <x:v>official-77-advanced-13</x:v>
      </x:c>
    </x:row>
    <x:row r="18" ht="53.25" customHeight="1">
      <x:c r="A18" s="27" t="n">
        <x:v>12</x:v>
      </x:c>
      <x:c r="B18" s="16" t="str">
        <x:v>THR-C03-S10</x:v>
      </x:c>
      <x:c r="C18" s="16" t="str">
        <x:v>돌과 흙의 기억</x:v>
      </x:c>
      <x:c r="D18" s="27" t="n">
        <x:v>77</x:v>
      </x:c>
      <x:c r="E18" s="60" t="str">
        <x:v>심화</x:v>
      </x:c>
      <x:c r="F18" s="27" t="n">
        <x:v>8</x:v>
      </x:c>
      <x:c r="G18" s="27" t="n">
        <x:v>3</x:v>
      </x:c>
      <x:c r="H18" s="49" t="str">
        <x:v>첫출제</x:v>
      </x:c>
      <x:c r="I18" s="16" t="str">
        <x:v>국내성·계단식 돌무지무덤·영락 명문을 단서로 고구려 부경을 선택</x:v>
      </x:c>
      <x:c r="J18" s="16" t="str">
        <x:v>C03-S10</x:v>
      </x:c>
      <x:c r="K18" s="16" t="str">
        <x:v>서아: “금동 연가 7년명 여래 입상에도 고구려의 불교가 남았네. 무덤 바깥에서도 사람들이 바라던 게 보이는구나.”</x:v>
      </x:c>
      <x:c r="L18" s="16" t="str">
        <x:v>—</x:v>
      </x:c>
      <x:c r="M18" s="16" t="str">
        <x:v>국내성·영락의 단서가 가리키는 국가는 고구려다. 고구려 각 집의 창고를 부경이라 하였으므로 ③을 고른다. 천추총의 특정 피장자를 확정해야 풀리는 문제는 아니다.</x:v>
      </x:c>
      <x:c r="N18" s="16" t="str">
        <x:v>official-77-advanced-08</x:v>
      </x:c>
    </x:row>
    <x:row r="19" ht="53.25" customHeight="1">
      <x:c r="A19" s="28" t="n">
        <x:v>13</x:v>
      </x:c>
      <x:c r="B19" s="13" t="str">
        <x:v>THR-C04-S05</x:v>
      </x:c>
      <x:c r="C19" s="13" t="str">
        <x:v>북위로 가는 글</x:v>
      </x:c>
      <x:c r="D19" s="28" t="n">
        <x:v>61</x:v>
      </x:c>
      <x:c r="E19" s="61" t="str">
        <x:v>심화</x:v>
      </x:c>
      <x:c r="F19" s="28" t="n">
        <x:v>6</x:v>
      </x:c>
      <x:c r="G19" s="28" t="n">
        <x:v>5</x:v>
      </x:c>
      <x:c r="H19" s="49" t="str">
        <x:v>첫출제</x:v>
      </x:c>
      <x:c r="I19" s="13" t="str">
        <x:v>장수왕 남진과 개로왕의 북위 구원 요청</x:v>
      </x:c>
      <x:c r="J19" s="13" t="str">
        <x:v>C04-S02, C04-S04, C04-S05</x:v>
      </x:c>
      <x:c r="K19" s="13" t="str">
        <x:v>은호: “그렇소. 답을 기다리는 시간도 이 문서의 일부요.”</x:v>
      </x:c>
      <x:c r="L19" s="13" t="str">
        <x:v>—</x:v>
      </x:c>
      <x:c r="M19" s="13" t="str">
        <x:v>장수왕의 평양 천도와 남진 정책으로 위협받은 백제 개로왕이 북위에 구원을 요청하였다. 요청은 472년, 한성 함락은 475년이다.</x:v>
      </x:c>
      <x:c r="N19" s="13" t="str">
        <x:v>official-61-advanced-06</x:v>
      </x:c>
    </x:row>
    <x:row r="20" ht="53.25" customHeight="1">
      <x:c r="A20" s="27" t="n">
        <x:v>14</x:v>
      </x:c>
      <x:c r="B20" s="16" t="str">
        <x:v>THR-C04-S07</x:v>
      </x:c>
      <x:c r="C20" s="16" t="str">
        <x:v>불탄 왕도의 소식</x:v>
      </x:c>
      <x:c r="D20" s="27" t="n">
        <x:v>60</x:v>
      </x:c>
      <x:c r="E20" s="60" t="str">
        <x:v>심화</x:v>
      </x:c>
      <x:c r="F20" s="27" t="n">
        <x:v>5</x:v>
      </x:c>
      <x:c r="G20" s="27" t="n">
        <x:v>1</x:v>
      </x:c>
      <x:c r="H20" s="49" t="str">
        <x:v>첫출제</x:v>
      </x:c>
      <x:c r="I20" s="16" t="str">
        <x:v>장수왕의 평양 천도</x:v>
      </x:c>
      <x:c r="J20" s="16" t="str">
        <x:v>C04-S01, C04-S03, C04-S06, C04-S07</x:v>
      </x:c>
      <x:c r="K20" s="16" t="str">
        <x:v>소리: “어느 쪽에서 만나도 서로 찾을 수 있게요. 네, 그렇게 하겠습니다.”</x:v>
      </x:c>
      <x:c r="L20" s="16" t="str">
        <x:v>—</x:v>
      </x:c>
      <x:c r="M20" s="16" t="str">
        <x:v>장수왕은 427년 평양으로 천도하고 475년 백제 한성을 함락하였다. 자료의 백제 도성 함락과 선택지의 천도를 같은 왕에게 연결한다.</x:v>
      </x:c>
      <x:c r="N20" s="16" t="str">
        <x:v>official-60-advanced-05</x:v>
      </x:c>
    </x:row>
    <x:row r="21" ht="53.25" customHeight="1">
      <x:c r="A21" s="28" t="n">
        <x:v>15</x:v>
      </x:c>
      <x:c r="B21" s="13" t="str">
        <x:v>THR-C04-S07</x:v>
      </x:c>
      <x:c r="C21" s="13" t="str">
        <x:v>불탄 왕도의 소식</x:v>
      </x:c>
      <x:c r="D21" s="28" t="n">
        <x:v>75</x:v>
      </x:c>
      <x:c r="E21" s="61" t="str">
        <x:v>기본</x:v>
      </x:c>
      <x:c r="F21" s="28" t="n">
        <x:v>2</x:v>
      </x:c>
      <x:c r="G21" s="28" t="n">
        <x:v>3</x:v>
      </x:c>
      <x:c r="H21" s="49" t="str">
        <x:v>첫출제</x:v>
      </x:c>
      <x:c r="I21" s="13" t="str">
        <x:v>도림을 백제에 보내고 한성을 함락한 고구려 왕의 업적을 고른다</x:v>
      </x:c>
      <x:c r="J21" s="13" t="str">
        <x:v>C04-S06, C04-S07</x:v>
      </x:c>
      <x:c r="K21" s="13" t="str">
        <x:v>소리: “어느 쪽에서 만나도 서로 찾을 수 있게요. 네, 그렇게 하겠습니다.”</x:v>
      </x:c>
      <x:c r="L21" s="13" t="str">
        <x:v>—</x:v>
      </x:c>
      <x:c r="M21" s="13" t="str">
        <x:v>광개토대왕의 아들이며 백제 한성을 함락한 왕은 장수왕이다. 장수왕은 평양으로 수도를 옮겼으므로 ③이 옳다. 도림 이야기는 자료에 인용된 삼국사기의 서술 맥락으로 이해한다.</x:v>
      </x:c>
      <x:c r="N21" s="13" t="str">
        <x:v>official-75-basic-02</x:v>
      </x:c>
    </x:row>
    <x:row r="22" ht="67.5" customHeight="1">
      <x:c r="A22" s="27" t="n">
        <x:v>16</x:v>
      </x:c>
      <x:c r="B22" s="16" t="str">
        <x:v>THR-C04-S08</x:v>
      </x:c>
      <x:c r="C22" s="16" t="str">
        <x:v>남쪽 돌의 글자</x:v>
      </x:c>
      <x:c r="D22" s="27" t="n">
        <x:v>73</x:v>
      </x:c>
      <x:c r="E22" s="60" t="str">
        <x:v>기본</x:v>
      </x:c>
      <x:c r="F22" s="27" t="n">
        <x:v>30</x:v>
      </x:c>
      <x:c r="G22" s="27" t="n">
        <x:v>4</x:v>
      </x:c>
      <x:c r="H22" s="49" t="str">
        <x:v>첫출제</x:v>
      </x:c>
      <x:c r="I22" s="16" t="str">
        <x:v>고구려비를 비롯한 여러 시대의 지역 단서를 종합해 도시를 고른다</x:v>
      </x:c>
      <x:c r="J22" s="16" t="str">
        <x:v>C04-S08</x:v>
      </x:c>
      <x:c r="K22" s="16" t="str">
        <x:v>비문 조사자: “돌을 다룰 때도, 돌에서 역사를 읽을 때도 같은 주의가 필요하지요.”</x:v>
      </x:c>
      <x:c r="L22" s="16" t="str">
        <x:v>—</x:v>
      </x:c>
      <x:c r="M22" s="16" t="str">
        <x:v>고구려비가 발견된 곳은 충주이다. 자료에 함께 나온 조동리 유적·덕흥창·탄금대도 충주를 가리키므로 ④가 정답이다. 이 문항은 여러 시대의 지역 단서를 종합하는 문제이므로 고구려비의 건립 연대를 묻는 문제로 바꾸어 설명하지 않는다.</x:v>
      </x:c>
      <x:c r="N22" s="16" t="str">
        <x:v>official-73-basic-30</x:v>
      </x:c>
    </x:row>
    <x:row r="23" ht="53.25" customHeight="1">
      <x:c r="A23" s="28" t="n">
        <x:v>17</x:v>
      </x:c>
      <x:c r="B23" s="13" t="str">
        <x:v>THR-C04-S09</x:v>
      </x:c>
      <x:c r="C23" s="13" t="str">
        <x:v>누가 승리했나</x:v>
      </x:c>
      <x:c r="D23" s="28" t="n">
        <x:v>60</x:v>
      </x:c>
      <x:c r="E23" s="61" t="str">
        <x:v>심화</x:v>
      </x:c>
      <x:c r="F23" s="28" t="n">
        <x:v>5</x:v>
      </x:c>
      <x:c r="G23" s="28" t="n">
        <x:v>1</x:v>
      </x:c>
      <x:c r="H23" s="64" t="str">
        <x:v>복습후보</x:v>
      </x:c>
      <x:c r="I23" s="13" t="str">
        <x:v>장수왕의 평양 천도</x:v>
      </x:c>
      <x:c r="J23" s="13" t="str">
        <x:v>C04-S09</x:v>
      </x:c>
      <x:c r="K23" s="13" t="str">
        <x:v>기록관: “성 밖으로 나간 삶도 아직 이어지고 있으니까요.”</x:v>
      </x:c>
      <x:c r="L23" s="13" t="str">
        <x:v>—</x:v>
      </x:c>
      <x:c r="M23" s="13" t="str">
        <x:v>장수왕은 427년 평양으로 천도하고 475년 백제 한성을 함락하였다. 자료의 백제 도성 함락과 선택지의 천도를 같은 왕에게 연결한다.</x:v>
      </x:c>
      <x:c r="N23" s="13" t="str">
        <x:v>official-60-advanced-05</x:v>
      </x:c>
    </x:row>
    <x:row r="24" ht="67.5" customHeight="1">
      <x:c r="A24" s="27" t="n">
        <x:v>18</x:v>
      </x:c>
      <x:c r="B24" s="16" t="str">
        <x:v>THR-C05-S03</x:v>
      </x:c>
      <x:c r="C24" s="16" t="str">
        <x:v>살수 뒤의 사람들</x:v>
      </x:c>
      <x:c r="D24" s="27" t="n">
        <x:v>69</x:v>
      </x:c>
      <x:c r="E24" s="60" t="str">
        <x:v>기본</x:v>
      </x:c>
      <x:c r="F24" s="27" t="n">
        <x:v>6</x:v>
      </x:c>
      <x:c r="G24" s="27" t="n">
        <x:v>1</x:v>
      </x:c>
      <x:c r="H24" s="49" t="str">
        <x:v>첫출제</x:v>
      </x:c>
      <x:c r="I24" s="16" t="str">
        <x:v>고구려가 외세의 침략을 막아낸 사례로 옳은 학생의 대답을 고른다</x:v>
      </x:c>
      <x:c r="J24" s="16" t="str">
        <x:v>C04-S10, C05-S01, C05-S02, C05-S03</x:v>
      </x:c>
      <x:c r="K24" s="16" t="str">
        <x:v>서아: “네. 돌아갈 때에는 두 통 다 채워 올게요.”</x:v>
      </x:c>
      <x:c r="L24" s="16" t="str">
        <x:v>—</x:v>
      </x:c>
      <x:c r="M24" s="16" t="str">
        <x:v>을지문덕이 살수에서 수의 군대를 물리친 것은 고구려의 대외 항쟁이다. 따라서 ①이 옳다. 황산벌은 백제와 신라, 황산은 고려 말 이성계의 왜구 격퇴, 일리천은 왕건의 후삼국 통일 과정과 관련된다.</x:v>
      </x:c>
      <x:c r="N24" s="16" t="str">
        <x:v>official-69-basic-06</x:v>
      </x:c>
    </x:row>
    <x:row r="25" ht="53.25" customHeight="1">
      <x:c r="A25" s="28" t="n">
        <x:v>19</x:v>
      </x:c>
      <x:c r="B25" s="13" t="str">
        <x:v>THR-C05-S08</x:v>
      </x:c>
      <x:c r="C25" s="13" t="str">
        <x:v>철수의 아침</x:v>
      </x:c>
      <x:c r="D25" s="28" t="n">
        <x:v>59</x:v>
      </x:c>
      <x:c r="E25" s="61" t="str">
        <x:v>심화</x:v>
      </x:c>
      <x:c r="F25" s="28" t="n">
        <x:v>4</x:v>
      </x:c>
      <x:c r="G25" s="28" t="n">
        <x:v>1</x:v>
      </x:c>
      <x:c r="H25" s="49" t="str">
        <x:v>첫출제</x:v>
      </x:c>
      <x:c r="I25" s="13" t="str">
        <x:v>연개소문과 천리장성 축조 감독</x:v>
      </x:c>
      <x:c r="J25" s="13" t="str">
        <x:v>C05-S04, C05-S05, C05-S08</x:v>
      </x:c>
      <x:c r="K25" s="13" t="str">
        <x:v>서아: “네. 조금 더 앉아 있어요.”</x:v>
      </x:c>
      <x:c r="L25" s="13" t="str">
        <x:v>—</x:v>
      </x:c>
      <x:c r="M25" s="13" t="str">
        <x:v>천리장성 축조를 감독한 연개소문은 642년 정변을 일으켜 영류왕을 죽이고 권력을 장악하였다. 살수 대첩의 을지문덕과 구별한다.</x:v>
      </x:c>
      <x:c r="N25" s="13" t="str">
        <x:v>official-59-advanced-04</x:v>
      </x:c>
    </x:row>
    <x:row r="26" ht="53.25" customHeight="1">
      <x:c r="A26" s="27" t="n">
        <x:v>20</x:v>
      </x:c>
      <x:c r="B26" s="16" t="str">
        <x:v>THR-C06-S06</x:v>
      </x:c>
      <x:c r="C26" s="16" t="str">
        <x:v>바다 건너의 칼</x:v>
      </x:c>
      <x:c r="D26" s="27" t="n">
        <x:v>63</x:v>
      </x:c>
      <x:c r="E26" s="60" t="str">
        <x:v>기본</x:v>
      </x:c>
      <x:c r="F26" s="27" t="n">
        <x:v>5</x:v>
      </x:c>
      <x:c r="G26" s="27" t="n">
        <x:v>1</x:v>
      </x:c>
      <x:c r="H26" s="49" t="str">
        <x:v>첫출제</x:v>
      </x:c>
      <x:c r="I26" s="16" t="str">
        <x:v>백제 대외 교류와 칠지도</x:v>
      </x:c>
      <x:c r="J26" s="16" t="str">
        <x:v>C06-S06</x:v>
      </x:c>
      <x:c r="K26" s="16" t="str">
        <x:v>서아: “끝이 눌리지 않게 이쪽을 받칠게요. 이제 칼보다 포장이 더 어려워 보이네요.”</x:v>
      </x:c>
      <x:c r="L26" s="16" t="str">
        <x:v>—</x:v>
      </x:c>
      <x:c r="M26" s="16" t="str">
        <x:v>백제가 왜와 교류했음을 보여 주는 칠지도가 정답 사진이다. 나머지 사진인 고려 청자, 신라 천마도, 호우명 그릇과 구별한다.</x:v>
      </x:c>
      <x:c r="N26" s="16" t="str">
        <x:v>official-63-basic-05</x:v>
      </x:c>
    </x:row>
    <x:row r="27" ht="53.25" customHeight="1">
      <x:c r="A27" s="28" t="n">
        <x:v>21</x:v>
      </x:c>
      <x:c r="B27" s="13" t="str">
        <x:v>THR-C06-S07</x:v>
      </x:c>
      <x:c r="C27" s="13" t="str">
        <x:v>사신의 말은 다르다</x:v>
      </x:c>
      <x:c r="D27" s="28" t="n">
        <x:v>64</x:v>
      </x:c>
      <x:c r="E27" s="61" t="str">
        <x:v>기본</x:v>
      </x:c>
      <x:c r="F27" s="28" t="n">
        <x:v>3</x:v>
      </x:c>
      <x:c r="G27" s="28" t="n">
        <x:v>3</x:v>
      </x:c>
      <x:c r="H27" s="64" t="str">
        <x:v>복습후보</x:v>
      </x:c>
      <x:c r="I27" s="13" t="str">
        <x:v>근초고왕의 고국원왕 전사</x:v>
      </x:c>
      <x:c r="J27" s="13" t="str">
        <x:v>C06-S03, C06-S04, C06-S05, C06-S07</x:v>
      </x:c>
      <x:c r="K27" s="13" t="str">
        <x:v>서아: “좋아요. 물을 마시는 동안에는 제가 먼저 말을 걸지 않을게요.”</x:v>
      </x:c>
      <x:c r="L27" s="13" t="str">
        <x:v>—</x:v>
      </x:c>
      <x:c r="M27" s="13" t="str">
        <x:v>근초고왕의 군대는 371년 고구려 평양성을 공격했고 고국원왕이 전사하였다. 사비 천도는 성왕, 22담로는 무령왕과 구별한다.</x:v>
      </x:c>
      <x:c r="N27" s="13" t="str">
        <x:v>official-64-basic-03</x:v>
      </x:c>
    </x:row>
    <x:row r="28" ht="53.25" customHeight="1">
      <x:c r="A28" s="27" t="n">
        <x:v>22</x:v>
      </x:c>
      <x:c r="B28" s="16" t="str">
        <x:v>THR-C07-S02</x:v>
      </x:c>
      <x:c r="C28" s="16" t="str">
        <x:v>왕의 부재</x:v>
      </x:c>
      <x:c r="D28" s="27" t="n">
        <x:v>75</x:v>
      </x:c>
      <x:c r="E28" s="60" t="str">
        <x:v>기본</x:v>
      </x:c>
      <x:c r="F28" s="27" t="n">
        <x:v>2</x:v>
      </x:c>
      <x:c r="G28" s="27" t="n">
        <x:v>3</x:v>
      </x:c>
      <x:c r="H28" s="64" t="str">
        <x:v>복습후보</x:v>
      </x:c>
      <x:c r="I28" s="16" t="str">
        <x:v>도림을 백제에 보내고 한성을 함락한 고구려 왕의 업적을 고른다</x:v>
      </x:c>
      <x:c r="J28" s="16" t="str">
        <x:v>C06-S09, C07-S01, C07-S02</x:v>
      </x:c>
      <x:c r="K28" s="16" t="str">
        <x:v>서아: “네. 한 번씩 번갈아 할게요. 아직 듣지 못한 분들이 많아요.”</x:v>
      </x:c>
      <x:c r="L28" s="16" t="str">
        <x:v>—</x:v>
      </x:c>
      <x:c r="M28" s="16" t="str">
        <x:v>광개토대왕의 아들이며 백제 한성을 함락한 왕은 장수왕이다. 장수왕은 평양으로 수도를 옮겼으므로 ③이 옳다. 도림 이야기는 자료에 인용된 삼국사기의 서술 맥락으로 이해한다.</x:v>
      </x:c>
      <x:c r="N28" s="16" t="str">
        <x:v>official-75-basic-02</x:v>
      </x:c>
    </x:row>
    <x:row r="29" ht="53.25" customHeight="1">
      <x:c r="A29" s="28" t="n">
        <x:v>23</x:v>
      </x:c>
      <x:c r="B29" s="13" t="str">
        <x:v>THR-C07-S08</x:v>
      </x:c>
      <x:c r="C29" s="13" t="str">
        <x:v>믿음의 조건</x:v>
      </x:c>
      <x:c r="D29" s="28" t="n">
        <x:v>70</x:v>
      </x:c>
      <x:c r="E29" s="61" t="str">
        <x:v>심화</x:v>
      </x:c>
      <x:c r="F29" s="28" t="n">
        <x:v>3</x:v>
      </x:c>
      <x:c r="G29" s="28" t="n">
        <x:v>2</x:v>
      </x:c>
      <x:c r="H29" s="49" t="str">
        <x:v>첫출제</x:v>
      </x:c>
      <x:c r="I29" s="13" t="str">
        <x:v>고구려의 한성 함락과 개로왕의 죽음 뒤 백제가 취한 대응을 묻는다</x:v>
      </x:c>
      <x:c r="J29" s="13" t="str">
        <x:v>C04-S07, C07-S06, C07-S07, C07-S08</x:v>
      </x:c>
      <x:c r="K29" s="13" t="str">
        <x:v>서아: “네. 다음에 만날 때도 그 말 기억해 주세요. 제가 먼저 그릇부터 찾을게요.”</x:v>
      </x:c>
      <x:c r="L29" s="13" t="str">
        <x:v>—</x:v>
      </x:c>
      <x:c r="M29" s="13" t="str">
        <x:v>자료는 한성이 함락되고 개로왕이 죽은 사건이다. 이후 웅진으로 옮겨 나라를 수습한 백제는 동성왕 때 신라와의 동맹을 강화했으므로 ②가 옳다.</x:v>
      </x:c>
      <x:c r="N29" s="13" t="str">
        <x:v>official-70-advanced-03</x:v>
      </x:c>
    </x:row>
    <x:row r="30" ht="53.25" customHeight="1">
      <x:c r="A30" s="27" t="n">
        <x:v>24</x:v>
      </x:c>
      <x:c r="B30" s="16" t="str">
        <x:v>THR-C08-S01</x:v>
      </x:c>
      <x:c r="C30" s="16" t="str">
        <x:v>왕족의 파견장</x:v>
      </x:c>
      <x:c r="D30" s="27" t="n">
        <x:v>79</x:v>
      </x:c>
      <x:c r="E30" s="60" t="str">
        <x:v>심화</x:v>
      </x:c>
      <x:c r="F30" s="27" t="n">
        <x:v>3</x:v>
      </x:c>
      <x:c r="G30" s="27" t="n">
        <x:v>2</x:v>
      </x:c>
      <x:c r="H30" s="49" t="str">
        <x:v>첫출제</x:v>
      </x:c>
      <x:c r="I30" s="16" t="str">
        <x:v>삼근왕 사후 백제의 역사 전개에서 무령왕의 22담로 파견을 선택</x:v>
      </x:c>
      <x:c r="J30" s="16" t="str">
        <x:v>C07-S05, C08-S01</x:v>
      </x:c>
      <x:c r="K30" s="16" t="str">
        <x:v>서아: “감사해요. 이번에는 장부보다 제 밥부터 잊지 않을게요.”</x:v>
      </x:c>
      <x:c r="L30" s="16" t="str">
        <x:v>—</x:v>
      </x:c>
      <x:c r="M30" s="16" t="str">
        <x:v>삼근왕 사후에 해당하는 선지는 무령왕의 22담로 왕족 파견이다. 서기 편찬·고국원왕 전사·불교 수용·광개토대왕 침입은 그보다 앞선 백제 역사에 해당한다.</x:v>
      </x:c>
      <x:c r="N30" s="16" t="str">
        <x:v>official-79-advanced-03</x:v>
      </x:c>
    </x:row>
    <x:row r="31" ht="67.5" customHeight="1">
      <x:c r="A31" s="28" t="n">
        <x:v>25</x:v>
      </x:c>
      <x:c r="B31" s="13" t="str">
        <x:v>THR-C08-S03</x:v>
      </x:c>
      <x:c r="C31" s="13" t="str">
        <x:v>무덤의 이름표</x:v>
      </x:c>
      <x:c r="D31" s="28" t="n">
        <x:v>77</x:v>
      </x:c>
      <x:c r="E31" s="61" t="str">
        <x:v>심화</x:v>
      </x:c>
      <x:c r="F31" s="28" t="n">
        <x:v>5</x:v>
      </x:c>
      <x:c r="G31" s="28" t="n">
        <x:v>3</x:v>
      </x:c>
      <x:c r="H31" s="49" t="str">
        <x:v>첫출제</x:v>
      </x:c>
      <x:c r="I31" s="13" t="str">
        <x:v>백가의 난 진압·양과의 외교·왕릉 발굴을 단서로 무령왕의 22담로를 선택</x:v>
      </x:c>
      <x:c r="J31" s="13" t="str">
        <x:v>C06-S07, C06-S08, C07-S09, C08-S01, C08-S02, C08-S03</x:v>
      </x:c>
      <x:c r="K31" s="13" t="str">
        <x:v>유물 기록관: “지석은 제자리에 두고 그림만 가져가세요. 돌아갈 길에 그 차이를 다시 보게 될 거예요.”</x:v>
      </x:c>
      <x:c r="L31" s="13" t="str">
        <x:v>—</x:v>
      </x:c>
      <x:c r="M31" s="13" t="str">
        <x:v>왕릉 지석과 양에 보낸 국서 등의 단서는 무령왕을 가리킨다. 무령왕은 22담로에 왕족을 파견하여 지방 통제를 강화했으므로 ③이 맞다. 다른 선지도 백제 왕의 활동이므로 왕별 업적을 구별하는 문항이다.</x:v>
      </x:c>
      <x:c r="N31" s="13" t="str">
        <x:v>official-77-advanced-05</x:v>
      </x:c>
    </x:row>
    <x:row r="32" ht="42" customHeight="1">
      <x:c r="A32" s="27" t="n">
        <x:v>26</x:v>
      </x:c>
      <x:c r="B32" s="16" t="str">
        <x:v>THR-C08-S03</x:v>
      </x:c>
      <x:c r="C32" s="16" t="str">
        <x:v>무덤의 이름표</x:v>
      </x:c>
      <x:c r="D32" s="27" t="n">
        <x:v>65</x:v>
      </x:c>
      <x:c r="E32" s="60" t="str">
        <x:v>심화</x:v>
      </x:c>
      <x:c r="F32" s="27" t="n">
        <x:v>3</x:v>
      </x:c>
      <x:c r="G32" s="27" t="n">
        <x:v>2</x:v>
      </x:c>
      <x:c r="H32" s="49" t="str">
        <x:v>첫출제</x:v>
      </x:c>
      <x:c r="I32" s="16" t="str">
        <x:v>문주왕의 웅진 천도와 무령왕릉</x:v>
      </x:c>
      <x:c r="J32" s="16" t="str">
        <x:v>C07-S02, C07-S03, C07-S04, C08-S03</x:v>
      </x:c>
      <x:c r="K32" s="16" t="str">
        <x:v>유물 기록관: “지석은 제자리에 두고 그림만 가져가세요. 돌아갈 길에 그 차이를 다시 보게 될 거예요.”</x:v>
      </x:c>
      <x:c r="L32" s="16" t="str">
        <x:v>—</x:v>
      </x:c>
      <x:c r="M32" s="16" t="str">
        <x:v>문주왕이 천도한 웅진은 오늘날 공주다. 공주에는 무령왕과 왕비의 이름을 확인할 수 있는 지석이 출토된 무령왕릉이 있다.</x:v>
      </x:c>
      <x:c r="N32" s="16" t="str">
        <x:v>official-65-advanced-03</x:v>
      </x:c>
    </x:row>
    <x:row r="33" ht="67.5" customHeight="1">
      <x:c r="A33" s="28" t="n">
        <x:v>27</x:v>
      </x:c>
      <x:c r="B33" s="13" t="str">
        <x:v>THR-C08-S05</x:v>
      </x:c>
      <x:c r="C33" s="13" t="str">
        <x:v>남부여의 현판</x:v>
      </x:c>
      <x:c r="D33" s="28" t="n">
        <x:v>77</x:v>
      </x:c>
      <x:c r="E33" s="61" t="str">
        <x:v>심화</x:v>
      </x:c>
      <x:c r="F33" s="28" t="n">
        <x:v>50</x:v>
      </x:c>
      <x:c r="G33" s="28" t="n">
        <x:v>3</x:v>
      </x:c>
      <x:c r="H33" s="49" t="str">
        <x:v>첫출제</x:v>
      </x:c>
      <x:c r="I33" s="13" t="str">
        <x:v>427·475·538년의 천도 왕을 구별하고 사비 천도한 성왕의 국호 남부여를 선택</x:v>
      </x:c>
      <x:c r="J33" s="13" t="str">
        <x:v>C08-S04, C08-S05</x:v>
      </x:c>
      <x:c r="K33" s="13" t="str">
        <x:v>서아: “생각보다 무겁네요. 성왕께서 바꾸신 이름을 제가 잠깐 들고 있었어요.”</x:v>
      </x:c>
      <x:c r="L33" s="13" t="str">
        <x:v>—</x:v>
      </x:c>
      <x:c r="M33" s="13" t="str">
        <x:v>538년 사비로 천도한 (다)는 성왕이며 국호를 남부여로 바꿨다. 고구려 장수왕·백제 문주왕·성왕을 구별하여 ③을 직접 확정할 수 있다. 전체 발문에는 고려·조선 왕도 있으므로 시대가 섞인 문항이라는 사실을 표시한다.</x:v>
      </x:c>
      <x:c r="N33" s="13" t="str">
        <x:v>official-77-advanced-50</x:v>
      </x:c>
    </x:row>
    <x:row r="34" ht="53.25" customHeight="1">
      <x:c r="A34" s="27" t="n">
        <x:v>28</x:v>
      </x:c>
      <x:c r="B34" s="16" t="str">
        <x:v>THR-C08-S10</x:v>
      </x:c>
      <x:c r="C34" s="16" t="str">
        <x:v>바뀐 국경의 사람</x:v>
      </x:c>
      <x:c r="D34" s="27" t="n">
        <x:v>64</x:v>
      </x:c>
      <x:c r="E34" s="60" t="str">
        <x:v>심화</x:v>
      </x:c>
      <x:c r="F34" s="27" t="n">
        <x:v>6</x:v>
      </x:c>
      <x:c r="G34" s="27" t="n">
        <x:v>2</x:v>
      </x:c>
      <x:c r="H34" s="49" t="str">
        <x:v>첫출제</x:v>
      </x:c>
      <x:c r="I34" s="16" t="str">
        <x:v>성왕의 사비 천도</x:v>
      </x:c>
      <x:c r="J34" s="16" t="str">
        <x:v>C08-S05, C08-S06, C08-S07, C08-S08, C08-S09, C08-S10</x:v>
      </x:c>
      <x:c r="K34" s="16" t="str">
        <x:v>신라 상인: “……고맙소. 다음 장이 선다는 소식부터 서로 알 수 있으면 좋겠군.”</x:v>
      </x:c>
      <x:c r="L34" s="16" t="str">
        <x:v>—</x:v>
      </x:c>
      <x:c r="M34" s="16" t="str">
        <x:v>성왕은 538년 수도를 사비로 옮기고 국호를 남부여로 바꾸었다. 자료의 관산성 전사는 554년 성왕의 최후이므로 해당 장면을 본 뒤 푼다.</x:v>
      </x:c>
      <x:c r="N34" s="16" t="str">
        <x:v>official-64-advanced-06</x:v>
      </x:c>
    </x:row>
    <x:row r="35" ht="67.5" customHeight="1">
      <x:c r="A35" s="28" t="n">
        <x:v>29</x:v>
      </x:c>
      <x:c r="B35" s="13" t="str">
        <x:v>THR-C09-S01</x:v>
      </x:c>
      <x:c r="C35" s="13" t="str">
        <x:v>돌탑의 빈 자리</x:v>
      </x:c>
      <x:c r="D35" s="28" t="n">
        <x:v>66</x:v>
      </x:c>
      <x:c r="E35" s="61" t="str">
        <x:v>심화</x:v>
      </x:c>
      <x:c r="F35" s="28" t="n">
        <x:v>5</x:v>
      </x:c>
      <x:c r="G35" s="28" t="n">
        <x:v>1</x:v>
      </x:c>
      <x:c r="H35" s="49" t="str">
        <x:v>첫출제</x:v>
      </x:c>
      <x:c r="I35" s="13" t="str">
        <x:v>미륵사 사리봉영기를 단서로 백제 무왕을 알아보고 같은 재위 기간의 사건을 고른다</x:v>
      </x:c>
      <x:c r="J35" s="13" t="str">
        <x:v>C05-S03, C08-S11, C09-S01</x:v>
      </x:c>
      <x:c r="K35" s="13" t="str">
        <x:v>서아: “네. 이번에는 어디부터 쓸어야 하는지 먼저 물을게요.”</x:v>
      </x:c>
      <x:c r="L35" s="13" t="str">
        <x:v>기록책: 무왕의 재위는 600~641년이야. 고구려 장에서 보았던 사건을 같은 연도 줄에 놓고 비교해 보자.</x:v>
      </x:c>
      <x:c r="M35" s="13" t="str">
        <x:v>미륵사 창건을 다루는 자료의 왕은 무왕이다. 무왕 재위 중 고구려에서 일어난 살수대첩을 고르는 문제이므로 ①이 옳다. 다른 보기의 사건을 무왕 자신의 업적으로 바꾸어 설명하면 안 된다.</x:v>
      </x:c>
      <x:c r="N35" s="13" t="str">
        <x:v>official-66-advanced-05</x:v>
      </x:c>
    </x:row>
    <x:row r="36" ht="67.5" customHeight="1">
      <x:c r="A36" s="27" t="n">
        <x:v>30</x:v>
      </x:c>
      <x:c r="B36" s="16" t="str">
        <x:v>THR-C09-S02</x:v>
      </x:c>
      <x:c r="C36" s="16" t="str">
        <x:v>향로의 작은 산</x:v>
      </x:c>
      <x:c r="D36" s="27" t="n">
        <x:v>76</x:v>
      </x:c>
      <x:c r="E36" s="60" t="str">
        <x:v>심화</x:v>
      </x:c>
      <x:c r="F36" s="27" t="n">
        <x:v>4</x:v>
      </x:c>
      <x:c r="G36" s="27" t="n">
        <x:v>1</x:v>
      </x:c>
      <x:c r="H36" s="49" t="str">
        <x:v>첫출제</x:v>
      </x:c>
      <x:c r="I36" s="16" t="str">
        <x:v>백제 금동 대향로를 단서로 백제 산수무늬 벽돌 사진을 판별</x:v>
      </x:c>
      <x:c r="J36" s="16" t="str">
        <x:v>C09-S02</x:v>
      </x:c>
      <x:c r="K36" s="16" t="str">
        <x:v>금속 장인: “그때까지 망가지지 않게 만드는 것이 오늘 내 일이오.”</x:v>
      </x:c>
      <x:c r="L36" s="16" t="str">
        <x:v>—</x:v>
      </x:c>
      <x:c r="M36" s="16" t="str">
        <x:v>금동 대향로의 제작 국가는 백제다. 정답 ①은 산수무늬 벽돌 사진으로, 백제의 문화유산에 해당한다. 원문에는 유물 이름을 적은 문자 선지가 없으므로 사진을 명칭으로 바꾸어 인용하지 않는다.</x:v>
      </x:c>
      <x:c r="N36" s="16" t="str">
        <x:v>official-76-advanced-04</x:v>
      </x:c>
    </x:row>
    <x:row r="37" ht="67.5" customHeight="1">
      <x:c r="A37" s="28" t="n">
        <x:v>31</x:v>
      </x:c>
      <x:c r="B37" s="13" t="str">
        <x:v>THR-C09-S03</x:v>
      </x:c>
      <x:c r="C37" s="13" t="str">
        <x:v>세 수도의 무덤</x:v>
      </x:c>
      <x:c r="D37" s="28" t="n">
        <x:v>78</x:v>
      </x:c>
      <x:c r="E37" s="61" t="str">
        <x:v>심화</x:v>
      </x:c>
      <x:c r="F37" s="28" t="n">
        <x:v>6</x:v>
      </x:c>
      <x:c r="G37" s="28" t="n">
        <x:v>4</x:v>
      </x:c>
      <x:c r="H37" s="49" t="str">
        <x:v>첫출제</x:v>
      </x:c>
      <x:c r="I37" s="13" t="str">
        <x:v>부여 쌍북리의 곡식 대여 목간을 단서로 백제 6좌평·달솔 체계를 선택</x:v>
      </x:c>
      <x:c r="J37" s="13" t="str">
        <x:v>C05-S12, C06-S01, C06-S02, C09-S03</x:v>
      </x:c>
      <x:c r="K37" s="13" t="str">
        <x:v>서아: “그 선 옆에, 제가 만난 사람들 이름도 적어 둘게요.”</x:v>
      </x:c>
      <x:c r="L37" s="13" t="str">
        <x:v>기록책: 지금 지명으로 표시한 지도에서 웅진은 공주, 사비는 부여와 이어져 있어. 세 수도의 위치와 예전에 보았던 관등표를 함께 펼쳐 보자.</x:v>
      </x:c>
      <x:c r="M37" s="13" t="str">
        <x:v>부여를 마지막 수도로 삼고 쌍북리 목간을 남긴 국가는 백제다. 백제의 관등 체계인 6좌평과 달솔을 제시한 ④가 정답이다. 곡식 대여 기록이라는 소재만 보고 고구려 진대법을 정답으로 바꾸면 안 된다.</x:v>
      </x:c>
      <x:c r="N37" s="13" t="str">
        <x:v>official-78-advanced-06</x:v>
      </x:c>
    </x:row>
    <x:row r="38" ht="53.25" customHeight="1">
      <x:c r="A38" s="27" t="n">
        <x:v>32</x:v>
      </x:c>
      <x:c r="B38" s="16" t="str">
        <x:v>THR-C09-S03</x:v>
      </x:c>
      <x:c r="C38" s="16" t="str">
        <x:v>세 수도의 무덤</x:v>
      </x:c>
      <x:c r="D38" s="27" t="n">
        <x:v>68</x:v>
      </x:c>
      <x:c r="E38" s="60" t="str">
        <x:v>심화</x:v>
      </x:c>
      <x:c r="F38" s="27" t="n">
        <x:v>4</x:v>
      </x:c>
      <x:c r="G38" s="27" t="n">
        <x:v>3</x:v>
      </x:c>
      <x:c r="H38" s="49" t="str">
        <x:v>첫출제</x:v>
      </x:c>
      <x:c r="I38" s="65" t="str">
        <x:v>백제 왕도 답사 계획에서 문화유산과 설명의 잘못된 연결을 찾는다</x:v>
      </x:c>
      <x:c r="J38" s="16" t="str">
        <x:v>C09-S03</x:v>
      </x:c>
      <x:c r="K38" s="16" t="str">
        <x:v>서아: “그 선 옆에, 제가 만난 사람들 이름도 적어 둘게요.”</x:v>
      </x:c>
      <x:c r="L38" s="16" t="str">
        <x:v>—</x:v>
      </x:c>
      <x:c r="M38" s="16" t="str">
        <x:v>③은 부소산성을 성왕의 전사 장소라고 연결해 틀렸다. 성왕이 전사한 곳은 관산성이며, 무령왕릉의 남조 영향과 능산리 고분군의 사신도 등 다른 연결은 옳다.</x:v>
      </x:c>
      <x:c r="N38" s="16" t="str">
        <x:v>official-68-advanced-04</x:v>
      </x:c>
    </x:row>
    <x:row r="39" ht="53.25" customHeight="1">
      <x:c r="A39" s="28" t="n">
        <x:v>33</x:v>
      </x:c>
      <x:c r="B39" s="13" t="str">
        <x:v>THR-C09-S04</x:v>
      </x:c>
      <x:c r="C39" s="13" t="str">
        <x:v>바다 건너 배움</x:v>
      </x:c>
      <x:c r="D39" s="28" t="n">
        <x:v>63</x:v>
      </x:c>
      <x:c r="E39" s="61" t="str">
        <x:v>기본</x:v>
      </x:c>
      <x:c r="F39" s="28" t="n">
        <x:v>5</x:v>
      </x:c>
      <x:c r="G39" s="28" t="n">
        <x:v>1</x:v>
      </x:c>
      <x:c r="H39" s="64" t="str">
        <x:v>복습후보</x:v>
      </x:c>
      <x:c r="I39" s="13" t="str">
        <x:v>백제 대외 교류와 칠지도</x:v>
      </x:c>
      <x:c r="J39" s="13" t="str">
        <x:v>C09-S04</x:v>
      </x:c>
      <x:c r="K39" s="13" t="str">
        <x:v>서아: “네. 건너가서도 이 책이 열렸으면 좋겠어요.”</x:v>
      </x:c>
      <x:c r="L39" s="13" t="str">
        <x:v>—</x:v>
      </x:c>
      <x:c r="M39" s="13" t="str">
        <x:v>백제가 왜와 교류했음을 보여 주는 칠지도가 정답 사진이다. 나머지 사진인 고려 청자, 신라 천마도, 호우명 그릇과 구별한다.</x:v>
      </x:c>
      <x:c r="N39" s="13" t="str">
        <x:v>official-63-basic-05</x:v>
      </x:c>
    </x:row>
    <x:row r="40" ht="67.5" customHeight="1">
      <x:c r="A40" s="27" t="n">
        <x:v>34</x:v>
      </x:c>
      <x:c r="B40" s="16" t="str">
        <x:v>THR-C09-S07</x:v>
      </x:c>
      <x:c r="C40" s="16" t="str">
        <x:v>사비의 닫힌 문</x:v>
      </x:c>
      <x:c r="D40" s="27" t="n">
        <x:v>78</x:v>
      </x:c>
      <x:c r="E40" s="60" t="str">
        <x:v>심화</x:v>
      </x:c>
      <x:c r="F40" s="27" t="n">
        <x:v>7</x:v>
      </x:c>
      <x:c r="G40" s="27" t="n">
        <x:v>4</x:v>
      </x:c>
      <x:c r="H40" s="49" t="str">
        <x:v>첫출제</x:v>
      </x:c>
      <x:c r="I40" s="16" t="str">
        <x:v>대야성 함락 뒤 김춘추의 고구려 구원 요청 이후 황산벌 전투가 일어났음을 판별</x:v>
      </x:c>
      <x:c r="J40" s="16" t="str">
        <x:v>C09-S05, C09-S06, C09-S07</x:v>
      </x:c>
      <x:c r="K40" s="16" t="str">
        <x:v>다은: “네. 이번에는 제가 어디로 가는지, 이 끌도 같이 보겠네요.”</x:v>
      </x:c>
      <x:c r="L40" s="16" t="str">
        <x:v>—</x:v>
      </x:c>
      <x:c r="M40" s="16" t="str">
        <x:v>자료는 642년 대야성 함락 뒤 김춘추가 고구려에 구원을 청하러 가는 상황이다. 이후의 사건은 660년 황산벌 전투이며, 다른 선지의 대가야 병합·우산국 복속·살수 대첩·광개토대왕의 신라 구원은 더 이르다.</x:v>
      </x:c>
      <x:c r="N40" s="16" t="str">
        <x:v>official-78-advanced-07</x:v>
      </x:c>
    </x:row>
    <x:row r="41" ht="67.5" customHeight="1">
      <x:c r="A41" s="28" t="n">
        <x:v>35</x:v>
      </x:c>
      <x:c r="B41" s="13" t="str">
        <x:v>THR-C09-S07</x:v>
      </x:c>
      <x:c r="C41" s="13" t="str">
        <x:v>사비의 닫힌 문</x:v>
      </x:c>
      <x:c r="D41" s="28" t="n">
        <x:v>75</x:v>
      </x:c>
      <x:c r="E41" s="61" t="str">
        <x:v>기본</x:v>
      </x:c>
      <x:c r="F41" s="28" t="n">
        <x:v>7</x:v>
      </x:c>
      <x:c r="G41" s="28" t="n">
        <x:v>1</x:v>
      </x:c>
      <x:c r="H41" s="49" t="str">
        <x:v>첫출제</x:v>
      </x:c>
      <x:c r="I41" s="13" t="str">
        <x:v>정림사지 오층 석탑에 새겨진 당의 백제 정복 명문과 관련된 탐구 활동을 고른다</x:v>
      </x:c>
      <x:c r="J41" s="13" t="str">
        <x:v>C09-S07</x:v>
      </x:c>
      <x:c r="K41" s="13" t="str">
        <x:v>다은: “네. 이번에는 제가 어디로 가는지, 이 끌도 같이 보겠네요.”</x:v>
      </x:c>
      <x:c r="L41" s="13" t="str">
        <x:v>—</x:v>
      </x:c>
      <x:c r="M41" s="13" t="str">
        <x:v>명문은 당의 소정방이 백제를 멸망시킨 일을 기록하므로 나당 연합군의 활동을 조사하는 ①이 적절하다. 정림사지 오층 석탑은 백제의 탑이며, 당이 백제 정복을 기념하려 새로 세운 탑이라는 뜻이 아니다.</x:v>
      </x:c>
      <x:c r="N41" s="13" t="str">
        <x:v>official-75-basic-07</x:v>
      </x:c>
    </x:row>
    <x:row r="42" ht="42" customHeight="1">
      <x:c r="A42" s="27" t="n">
        <x:v>36</x:v>
      </x:c>
      <x:c r="B42" s="16" t="str">
        <x:v>THR-C10-S03</x:v>
      </x:c>
      <x:c r="C42" s="16" t="str">
        <x:v>돌을 덮는 사람들</x:v>
      </x:c>
      <x:c r="D42" s="27" t="n">
        <x:v>66</x:v>
      </x:c>
      <x:c r="E42" s="60" t="str">
        <x:v>심화</x:v>
      </x:c>
      <x:c r="F42" s="27" t="n">
        <x:v>3</x:v>
      </x:c>
      <x:c r="G42" s="27" t="n">
        <x:v>3</x:v>
      </x:c>
      <x:c r="H42" s="49" t="str">
        <x:v>첫출제</x:v>
      </x:c>
      <x:c r="I42" s="16" t="str">
        <x:v>천마총과 천마도를 단서로 신라의 문화유산을 고르는 이미지 문항</x:v>
      </x:c>
      <x:c r="J42" s="16" t="str">
        <x:v>C10-S01, C10-S02, C10-S03</x:v>
      </x:c>
      <x:c r="K42" s="16" t="str">
        <x:v>서아: “아니요. 이 돌을 누가 올렸는지도 기억할게요.”</x:v>
      </x:c>
      <x:c r="L42" s="16" t="str">
        <x:v>—</x:v>
      </x:c>
      <x:c r="M42" s="16" t="str">
        <x:v>자료의 천마총과 천마도는 신라 유산이다. 정답 사진 ③의 금관을 신라의 돌무지덧널무덤에서 나온 유물과 연결한다.</x:v>
      </x:c>
      <x:c r="N42" s="16" t="str">
        <x:v>official-66-advanced-03</x:v>
      </x:c>
    </x:row>
    <x:row r="43" ht="53.25" customHeight="1">
      <x:c r="A43" s="28" t="n">
        <x:v>37</x:v>
      </x:c>
      <x:c r="B43" s="13" t="str">
        <x:v>THR-C10-S05</x:v>
      </x:c>
      <x:c r="C43" s="13" t="str">
        <x:v>합의가 늦는 밤</x:v>
      </x:c>
      <x:c r="D43" s="28" t="n">
        <x:v>73</x:v>
      </x:c>
      <x:c r="E43" s="61" t="str">
        <x:v>기본</x:v>
      </x:c>
      <x:c r="F43" s="28" t="n">
        <x:v>6</x:v>
      </x:c>
      <x:c r="G43" s="28" t="n">
        <x:v>2</x:v>
      </x:c>
      <x:c r="H43" s="49" t="str">
        <x:v>첫출제</x:v>
      </x:c>
      <x:c r="I43" s="13" t="str">
        <x:v>경주 금령총의 기마인물형 토기를 남긴 국가의 사회 제도를 고른다</x:v>
      </x:c>
      <x:c r="J43" s="13" t="str">
        <x:v>C10-S04, C10-S05</x:v>
      </x:c>
      <x:c r="K43" s="13" t="str">
        <x:v>서아: “네. 돌아오시면, 답이 아직 없더라도 알려 주세요.”</x:v>
      </x:c>
      <x:c r="L43" s="13" t="str">
        <x:v>—</x:v>
      </x:c>
      <x:c r="M43" s="13" t="str">
        <x:v>경주 금령총과 기마인물형 명기는 신라의 자료이다. 신라는 골품제를 운영했으므로 ②가 옳다. 자료 속 주인과 하인의 크기·치장 차이는 당시 신분 차이를 보여 준다.</x:v>
      </x:c>
      <x:c r="N43" s="13" t="str">
        <x:v>official-73-basic-06</x:v>
      </x:c>
    </x:row>
    <x:row r="44" ht="53.25" customHeight="1">
      <x:c r="A44" s="27" t="n">
        <x:v>38</x:v>
      </x:c>
      <x:c r="B44" s="16" t="str">
        <x:v>THR-C10-S06</x:v>
      </x:c>
      <x:c r="C44" s="16" t="str">
        <x:v>구원군이 남긴 물건</x:v>
      </x:c>
      <x:c r="D44" s="27" t="n">
        <x:v>67</x:v>
      </x:c>
      <x:c r="E44" s="60" t="str">
        <x:v>기본</x:v>
      </x:c>
      <x:c r="F44" s="27" t="n">
        <x:v>3</x:v>
      </x:c>
      <x:c r="G44" s="27" t="n">
        <x:v>4</x:v>
      </x:c>
      <x:c r="H44" s="64" t="str">
        <x:v>복습후보</x:v>
      </x:c>
      <x:c r="I44" s="16" t="str">
        <x:v>거란·숙신·후연·동부여를 정벌한 고구려 왕의 업적을 고른다</x:v>
      </x:c>
      <x:c r="J44" s="16" t="str">
        <x:v>C10-S06</x:v>
      </x:c>
      <x:c r="K44" s="16" t="str">
        <x:v>서아: “오늘은 제가 씻을게요. 흠은 더 내지 않도록요.”</x:v>
      </x:c>
      <x:c r="L44" s="16" t="str">
        <x:v>—</x:v>
      </x:c>
      <x:c r="M44" s="16" t="str">
        <x:v>자료의 고구려 제19대 왕은 광개토대왕이다. 광개토대왕은 신라에 침입한 왜를 물리치기 위해 군대를 보냈으므로 ④가 옳다. 태학 설립은 소수림왕, 평양 천도는 장수왕의 업적이다.</x:v>
      </x:c>
      <x:c r="N44" s="16" t="str">
        <x:v>official-67-basic-03</x:v>
      </x:c>
    </x:row>
    <x:row r="45" ht="53.25" customHeight="1">
      <x:c r="A45" s="28" t="n">
        <x:v>39</x:v>
      </x:c>
      <x:c r="B45" s="13" t="str">
        <x:v>THR-C10-S08</x:v>
      </x:c>
      <x:c r="C45" s="13" t="str">
        <x:v>왕계의 빈칸을 채우다</x:v>
      </x:c>
      <x:c r="D45" s="28" t="n">
        <x:v>70</x:v>
      </x:c>
      <x:c r="E45" s="61" t="str">
        <x:v>심화</x:v>
      </x:c>
      <x:c r="F45" s="28" t="n">
        <x:v>3</x:v>
      </x:c>
      <x:c r="G45" s="28" t="n">
        <x:v>2</x:v>
      </x:c>
      <x:c r="H45" s="64" t="str">
        <x:v>복습후보</x:v>
      </x:c>
      <x:c r="I45" s="13" t="str">
        <x:v>고구려의 한성 함락과 개로왕의 죽음 뒤 백제가 취한 대응을 묻는다</x:v>
      </x:c>
      <x:c r="J45" s="13" t="str">
        <x:v>C10-S07, C10-S08</x:v>
      </x:c>
      <x:c r="K45" s="13" t="str">
        <x:v>서아: “이제 밭으로 가는 거네요. 손을 좀 써야 할 것 같은데요.”</x:v>
      </x:c>
      <x:c r="L45" s="13" t="str">
        <x:v>—</x:v>
      </x:c>
      <x:c r="M45" s="13" t="str">
        <x:v>자료는 한성이 함락되고 개로왕이 죽은 사건이다. 이후 웅진으로 옮겨 나라를 수습한 백제는 동성왕 때 신라와의 동맹을 강화했으므로 ②가 옳다.</x:v>
      </x:c>
      <x:c r="N45" s="13" t="str">
        <x:v>official-70-advanced-03</x:v>
      </x:c>
    </x:row>
    <x:row r="46" ht="42" customHeight="1">
      <x:c r="A46" s="27" t="n">
        <x:v>40</x:v>
      </x:c>
      <x:c r="B46" s="16" t="str">
        <x:v>THR-C11-S03</x:v>
      </x:c>
      <x:c r="C46" s="16" t="str">
        <x:v>바다를 두려워한 사공</x:v>
      </x:c>
      <x:c r="D46" s="27" t="n">
        <x:v>71</x:v>
      </x:c>
      <x:c r="E46" s="60" t="str">
        <x:v>심화</x:v>
      </x:c>
      <x:c r="F46" s="27" t="n">
        <x:v>6</x:v>
      </x:c>
      <x:c r="G46" s="27" t="n">
        <x:v>3</x:v>
      </x:c>
      <x:c r="H46" s="49" t="str">
        <x:v>첫출제</x:v>
      </x:c>
      <x:c r="I46" s="16" t="str">
        <x:v>지증왕의 국호·왕호·순장 금지·우산국 복속</x:v>
      </x:c>
      <x:c r="J46" s="16" t="str">
        <x:v>C11-S01, C11-S02, C11-S03</x:v>
      </x:c>
      <x:c r="K46" s="16" t="str">
        <x:v>서아: “네. 바다를 잘 아는 분 말씀부터 들을게요.”</x:v>
      </x:c>
      <x:c r="L46" s="16" t="str">
        <x:v>—</x:v>
      </x:c>
      <x:c r="M46" s="16" t="str">
        <x:v>국호를 신라로 확정하고 왕 칭호를 사용한 왕은 지증왕이다. 지증왕 때 이사부가 우산국을 복속하였다.</x:v>
      </x:c>
      <x:c r="N46" s="16" t="str">
        <x:v>official-71-advanced-06</x:v>
      </x:c>
    </x:row>
    <x:row r="47" ht="81.75" customHeight="1">
      <x:c r="A47" s="28" t="n">
        <x:v>41</x:v>
      </x:c>
      <x:c r="B47" s="13" t="str">
        <x:v>THR-C11-S07</x:v>
      </x:c>
      <x:c r="C47" s="13" t="str">
        <x:v>법흥왕의 결단</x:v>
      </x:c>
      <x:c r="D47" s="28" t="n">
        <x:v>69</x:v>
      </x:c>
      <x:c r="E47" s="61" t="str">
        <x:v>기본</x:v>
      </x:c>
      <x:c r="F47" s="28" t="n">
        <x:v>4</x:v>
      </x:c>
      <x:c r="G47" s="28" t="n">
        <x:v>1</x:v>
      </x:c>
      <x:c r="H47" s="49" t="str">
        <x:v>첫출제</x:v>
      </x:c>
      <x:c r="I47" s="13" t="str">
        <x:v>병부 설치·율령 반포·불교 수용 기사가 나온 신라 왕을 고른다</x:v>
      </x:c>
      <x:c r="J47" s="13" t="str">
        <x:v>C11-S04, C11-S05, C11-S06, C11-S07</x:v>
      </x:c>
      <x:c r="K47" s="13" t="str">
        <x:v>서아: “네. 그 아래서 사는 사람들은 계속 바뀌니까요.”</x:v>
      </x:c>
      <x:c r="L47" s="13" t="str">
        <x:v>—</x:v>
      </x:c>
      <x:c r="M47" s="13" t="str">
        <x:v>병부를 설치하고 율령을 반포하며 불교를 공인한 신라 왕은 법흥왕이다. 제시된 재위 연차의 기사들이 같은 왕을 가리키므로 ①이 정답이다. 불교 공인의 연도 표기에는 사료상 527·528년 차이가 있으므로 이 문항의 요점을 특정 연도 암기로 바꾸지 않는다.</x:v>
      </x:c>
      <x:c r="N47" s="13" t="str">
        <x:v>official-69-basic-04</x:v>
      </x:c>
    </x:row>
    <x:row r="48" ht="67.5" customHeight="1">
      <x:c r="A48" s="27" t="n">
        <x:v>42</x:v>
      </x:c>
      <x:c r="B48" s="16" t="str">
        <x:v>THR-C12-S04</x:v>
      </x:c>
      <x:c r="C48" s="16" t="str">
        <x:v>동맹을 잃은 식탁</x:v>
      </x:c>
      <x:c r="D48" s="27" t="n">
        <x:v>76</x:v>
      </x:c>
      <x:c r="E48" s="60" t="str">
        <x:v>심화</x:v>
      </x:c>
      <x:c r="F48" s="27" t="n">
        <x:v>3</x:v>
      </x:c>
      <x:c r="G48" s="27" t="n">
        <x:v>3</x:v>
      </x:c>
      <x:c r="H48" s="49" t="str">
        <x:v>첫출제</x:v>
      </x:c>
      <x:c r="I48" s="16" t="str">
        <x:v>근초고왕의 평양성 공격, 장수왕의 한성 함락, 성왕의 관산성 전사를 순서대로 배열</x:v>
      </x:c>
      <x:c r="J48" s="16" t="str">
        <x:v>C12-S04</x:v>
      </x:c>
      <x:c r="K48" s="16" t="str">
        <x:v>서아: “저는 여기 앉을게요. 말이 끊겨도 괜찮아요.”</x:v>
      </x:c>
      <x:c r="L48" s="16" t="str">
        <x:v>—</x:v>
      </x:c>
      <x:c r="M48" s="16" t="str">
        <x:v>(나)는 근초고왕이 평양성을 공격하여 고국원왕이 전사한 371년, (가)는 장수왕이 한성을 함락하고 개로왕이 죽은 475년, (다)는 성왕이 관산성에서 전사한 554년이다. 따라서 ③의 순서가 맞다.</x:v>
      </x:c>
      <x:c r="N48" s="16" t="str">
        <x:v>official-76-advanced-03</x:v>
      </x:c>
    </x:row>
    <x:row r="49" ht="67.5" customHeight="1">
      <x:c r="A49" s="28" t="n">
        <x:v>43</x:v>
      </x:c>
      <x:c r="B49" s="13" t="str">
        <x:v>THR-C12-S07</x:v>
      </x:c>
      <x:c r="C49" s="13" t="str">
        <x:v>함께 걷는 화랑</x:v>
      </x:c>
      <x:c r="D49" s="28" t="n">
        <x:v>67</x:v>
      </x:c>
      <x:c r="E49" s="61" t="str">
        <x:v>기본</x:v>
      </x:c>
      <x:c r="F49" s="28" t="n">
        <x:v>5</x:v>
      </x:c>
      <x:c r="G49" s="28" t="n">
        <x:v>2</x:v>
      </x:c>
      <x:c r="H49" s="49" t="str">
        <x:v>첫출제</x:v>
      </x:c>
      <x:c r="I49" s="13" t="str">
        <x:v>단양 신라 적성비를 세운 왕의 다른 업적을 고른다</x:v>
      </x:c>
      <x:c r="J49" s="13" t="str">
        <x:v>C12-S05, C12-S06, C12-S07</x:v>
      </x:c>
      <x:c r="K49" s="13" t="str">
        <x:v>서아: “네. 이제 뒤를 확인하고 걸어 주세요.”</x:v>
      </x:c>
      <x:c r="L49" s="13" t="str">
        <x:v>—</x:v>
      </x:c>
      <x:c r="M49" s="13" t="str">
        <x:v>단양 신라 적성비는 진흥왕 때 신라의 적성 진출과 공로자 포상을 알려 준다. 진흥왕은 화랑도를 국가 조직으로 정비하였으므로 ②가 옳다. 적성비를 순수비와 같은 종류의 비라고 서술하지 않는다.</x:v>
      </x:c>
      <x:c r="N49" s="13" t="str">
        <x:v>official-67-basic-05</x:v>
      </x:c>
    </x:row>
    <x:row r="50" ht="53.25" customHeight="1">
      <x:c r="A50" s="27" t="n">
        <x:v>44</x:v>
      </x:c>
      <x:c r="B50" s="16" t="str">
        <x:v>THR-C12-S09</x:v>
      </x:c>
      <x:c r="C50" s="16" t="str">
        <x:v>새 영토의 일상</x:v>
      </x:c>
      <x:c r="D50" s="27" t="n">
        <x:v>74</x:v>
      </x:c>
      <x:c r="E50" s="60" t="str">
        <x:v>심화</x:v>
      </x:c>
      <x:c r="F50" s="27" t="n">
        <x:v>4</x:v>
      </x:c>
      <x:c r="G50" s="27" t="n">
        <x:v>2</x:v>
      </x:c>
      <x:c r="H50" s="49" t="str">
        <x:v>첫출제</x:v>
      </x:c>
      <x:c r="I50" s="16" t="str">
        <x:v>성왕의 관산성 전사와 의자왕대 대야성 함락 사이의 사건을 묻는다</x:v>
      </x:c>
      <x:c r="J50" s="16" t="str">
        <x:v>C11-S08, C11-S09, C12-S01, C12-S02, C12-S03, C12-S04, C12-S08, C12-S09</x:v>
      </x:c>
      <x:c r="K50" s="16" t="str">
        <x:v>가야 장인: “내가 아는 것을 모두 틀렸다고 하지 않는다면, 새것도 배울 수 있소.”</x:v>
      </x:c>
      <x:c r="L50" s="16" t="str">
        <x:v>—</x:v>
      </x:c>
      <x:c r="M50" s="16" t="str">
        <x:v>관산성 전투와 대야성 함락 사이에 신라 진흥왕이 대가야를 병합했다. 따라서 ②가 옳으며, 남부여 개칭이나 한강 하류 확보를 이 구간의 사건으로 옮겨 놓으면 안 된다.</x:v>
      </x:c>
      <x:c r="N50" s="16" t="str">
        <x:v>official-74-advanced-04</x:v>
      </x:c>
    </x:row>
    <x:row r="51" ht="53.25" customHeight="1">
      <x:c r="A51" s="28" t="n">
        <x:v>45</x:v>
      </x:c>
      <x:c r="B51" s="13" t="str">
        <x:v>THR-C13-S03</x:v>
      </x:c>
      <x:c r="C51" s="13" t="str">
        <x:v>아홉 층의 기원</x:v>
      </x:c>
      <x:c r="D51" s="28" t="n">
        <x:v>64</x:v>
      </x:c>
      <x:c r="E51" s="61" t="str">
        <x:v>기본</x:v>
      </x:c>
      <x:c r="F51" s="28" t="n">
        <x:v>6</x:v>
      </x:c>
      <x:c r="G51" s="28" t="n">
        <x:v>1</x:v>
      </x:c>
      <x:c r="H51" s="49" t="str">
        <x:v>첫출제</x:v>
      </x:c>
      <x:c r="I51" s="13" t="str">
        <x:v>선덕여왕대 분황사 모전석탑</x:v>
      </x:c>
      <x:c r="J51" s="13" t="str">
        <x:v>C13-S01, C13-S02</x:v>
      </x:c>
      <x:c r="K51" s="13" t="str">
        <x:v>장인: “그렇소. 하나, 둘. 이제 같이 올립시다.”</x:v>
      </x:c>
      <x:c r="L51" s="13" t="str">
        <x:v>—</x:v>
      </x:c>
      <x:c r="M51" s="13" t="str">
        <x:v>분황사 모전석탑은 벽돌처럼 다듬은 돌을 쌓은 탑이다. 백제 정림사지 오층석탑이나 신라 하대 화엄사 사사자 삼층석탑과 형태를 구별한다.</x:v>
      </x:c>
      <x:c r="N51" s="13" t="str">
        <x:v>official-64-basic-06</x:v>
      </x:c>
    </x:row>
    <x:row r="52" ht="53.25" customHeight="1">
      <x:c r="A52" s="27" t="n">
        <x:v>46</x:v>
      </x:c>
      <x:c r="B52" s="16" t="str">
        <x:v>THR-C13-S04</x:v>
      </x:c>
      <x:c r="C52" s="16" t="str">
        <x:v>당으로 가는 사신</x:v>
      </x:c>
      <x:c r="D52" s="27" t="n">
        <x:v>68</x:v>
      </x:c>
      <x:c r="E52" s="60" t="str">
        <x:v>심화</x:v>
      </x:c>
      <x:c r="F52" s="27" t="n">
        <x:v>5</x:v>
      </x:c>
      <x:c r="G52" s="27" t="n">
        <x:v>2</x:v>
      </x:c>
      <x:c r="H52" s="49" t="str">
        <x:v>첫출제</x:v>
      </x:c>
      <x:c r="I52" s="16" t="str">
        <x:v>김춘추의 고구려 원병 요청과 당 방문 사이의 사건을 묻는다</x:v>
      </x:c>
      <x:c r="J52" s="16" t="str">
        <x:v>C05-S06, C05-S07, C05-S08, C13-S04</x:v>
      </x:c>
      <x:c r="K52" s="16" t="str">
        <x:v>서아: “다녀오세요. 누가 기다리고 있었는지는 제가 잊지 않고 있을게요.”</x:v>
      </x:c>
      <x:c r="L52" s="16" t="str">
        <x:v>김춘추의 고구려 방문은 642년, 당 방문은 648년으로 서로 다른 사신길이다.</x:v>
      </x:c>
      <x:c r="M52" s="16" t="str">
        <x:v>김춘추의 고구려 방문과 당 방문 사이에 안시성 전투가 일어났다. 따라서 안시성의 군사와 백성이 당군을 물리친 ②를 고른다.</x:v>
      </x:c>
      <x:c r="N52" s="16" t="str">
        <x:v>official-68-advanced-05</x:v>
      </x:c>
    </x:row>
    <x:row r="53" ht="53.25" customHeight="1">
      <x:c r="A53" s="28" t="n">
        <x:v>47</x:v>
      </x:c>
      <x:c r="B53" s="13" t="str">
        <x:v>THR-C13-S06</x:v>
      </x:c>
      <x:c r="C53" s="13" t="str">
        <x:v>김춘추가 왕이 되다</x:v>
      </x:c>
      <x:c r="D53" s="28" t="n">
        <x:v>73</x:v>
      </x:c>
      <x:c r="E53" s="61" t="str">
        <x:v>기본</x:v>
      </x:c>
      <x:c r="F53" s="28" t="n">
        <x:v>6</x:v>
      </x:c>
      <x:c r="G53" s="28" t="n">
        <x:v>2</x:v>
      </x:c>
      <x:c r="H53" s="64" t="str">
        <x:v>복습후보</x:v>
      </x:c>
      <x:c r="I53" s="13" t="str">
        <x:v>경주 금령총의 기마인물형 토기를 남긴 국가의 사회 제도를 고른다</x:v>
      </x:c>
      <x:c r="J53" s="13" t="str">
        <x:v>C13-S06</x:v>
      </x:c>
      <x:c r="K53" s="13" t="str">
        <x:v>서아: “네. 장군도 한술이라도 드시고 가세요.”</x:v>
      </x:c>
      <x:c r="L53" s="13" t="str">
        <x:v>—</x:v>
      </x:c>
      <x:c r="M53" s="13" t="str">
        <x:v>경주 금령총과 기마인물형 명기는 신라의 자료이다. 신라는 골품제를 운영했으므로 ②가 옳다. 자료 속 주인과 하인의 크기·치장 차이는 당시 신분 차이를 보여 준다.</x:v>
      </x:c>
      <x:c r="N53" s="13" t="str">
        <x:v>official-73-basic-06</x:v>
      </x:c>
    </x:row>
    <x:row r="54" ht="67.5" customHeight="1">
      <x:c r="A54" s="27" t="n">
        <x:v>48</x:v>
      </x:c>
      <x:c r="B54" s="16" t="str">
        <x:v>THR-C13-S08</x:v>
      </x:c>
      <x:c r="C54" s="16" t="str">
        <x:v>668년의 빈 성</x:v>
      </x:c>
      <x:c r="D54" s="27" t="n">
        <x:v>73</x:v>
      </x:c>
      <x:c r="E54" s="60" t="str">
        <x:v>기본</x:v>
      </x:c>
      <x:c r="F54" s="27" t="n">
        <x:v>7</x:v>
      </x:c>
      <x:c r="G54" s="27" t="n">
        <x:v>4</x:v>
      </x:c>
      <x:c r="H54" s="49" t="str">
        <x:v>첫출제</x:v>
      </x:c>
      <x:c r="I54" s="16" t="str">
        <x:v>의자왕과 부여융이 항복한 상황 이후에 일어난 일을 고른다</x:v>
      </x:c>
      <x:c r="J54" s="16" t="str">
        <x:v>C05-S09, C05-S10, C13-S08</x:v>
      </x:c>
      <x:c r="K54" s="16" t="str">
        <x:v>서아: “네. 그 점까지 찾아보는 분께 전할게요.”</x:v>
      </x:c>
      <x:c r="L54" s="16" t="str">
        <x:v>—</x:v>
      </x:c>
      <x:c r="M54" s="16" t="str">
        <x:v>자료는 660년 백제 멸망 때의 상황이다. 그 뒤인 668년에 나당 연합군이 평양성을 점령하며 고구려가 멸망하였으므로 ④가 옳다. 대가야 정복·우산국 복속·고구려의 한성 함락은 모두 그 이전이다.</x:v>
      </x:c>
      <x:c r="N54" s="16" t="str">
        <x:v>official-73-basic-07</x:v>
      </x:c>
    </x:row>
    <x:row r="55" ht="42" customHeight="1">
      <x:c r="A55" s="28" t="n">
        <x:v>49</x:v>
      </x:c>
      <x:c r="B55" s="13" t="str">
        <x:v>THR-C13-S10</x:v>
      </x:c>
      <x:c r="C55" s="13" t="str">
        <x:v>매소성의 보급길</x:v>
      </x:c>
      <x:c r="D55" s="28" t="n">
        <x:v>65</x:v>
      </x:c>
      <x:c r="E55" s="61" t="str">
        <x:v>심화</x:v>
      </x:c>
      <x:c r="F55" s="28" t="n">
        <x:v>6</x:v>
      </x:c>
      <x:c r="G55" s="28" t="n">
        <x:v>5</x:v>
      </x:c>
      <x:c r="H55" s="49" t="str">
        <x:v>첫출제</x:v>
      </x:c>
      <x:c r="I55" s="13" t="str">
        <x:v>백강과 매소성 사이 고구려 부흥 운동</x:v>
      </x:c>
      <x:c r="J55" s="13" t="str">
        <x:v>C05-S11, C09-S09, C13-S09, C13-S10</x:v>
      </x:c>
      <x:c r="K55" s="13" t="str">
        <x:v>보급병: “앞길 비었소! 천천히, 바퀴부터 움직이시오!”</x:v>
      </x:c>
      <x:c r="L55" s="13" t="str">
        <x:v>—</x:v>
      </x:c>
      <x:c r="M55" s="13" t="str">
        <x:v>668년 고구려 멸망 뒤 670년 검모잠이 안승을 내세워 부흥 운동을 벌였다. 따라서 제시된 663~675년 사이에 들어간다.</x:v>
      </x:c>
      <x:c r="N55" s="13" t="str">
        <x:v>official-65-advanced-06</x:v>
      </x:c>
    </x:row>
    <x:row r="56" ht="42" customHeight="1">
      <x:c r="A56" s="27" t="n">
        <x:v>50</x:v>
      </x:c>
      <x:c r="B56" s="16" t="str">
        <x:v>THR-C13-S10</x:v>
      </x:c>
      <x:c r="C56" s="16" t="str">
        <x:v>매소성의 보급길</x:v>
      </x:c>
      <x:c r="D56" s="27" t="n">
        <x:v>61</x:v>
      </x:c>
      <x:c r="E56" s="60" t="str">
        <x:v>심화</x:v>
      </x:c>
      <x:c r="F56" s="27" t="n">
        <x:v>7</x:v>
      </x:c>
      <x:c r="G56" s="27" t="n">
        <x:v>2</x:v>
      </x:c>
      <x:c r="H56" s="49" t="str">
        <x:v>첫출제</x:v>
      </x:c>
      <x:c r="I56" s="16" t="str">
        <x:v>연정토 귀부와 매소성 사이의 안승 책봉</x:v>
      </x:c>
      <x:c r="J56" s="16" t="str">
        <x:v>C05-S11, C13-S09, C13-S10</x:v>
      </x:c>
      <x:c r="K56" s="16" t="str">
        <x:v>보급병: “앞길 비었소! 천천히, 바퀴부터 움직이시오!”</x:v>
      </x:c>
      <x:c r="L56" s="16" t="str">
        <x:v>연정토가 신라에 귀부한 첫 자료는 666년의 기록이다.</x:v>
      </x:c>
      <x:c r="M56" s="16" t="str">
        <x:v>문무왕이 안승을 보덕왕으로 책봉한 때는 674년으로, 제시된 666~675년 사이에 들어간다. 백강 전투는 663년이다.</x:v>
      </x:c>
      <x:c r="N56" s="16" t="str">
        <x:v>official-61-advanced-07</x:v>
      </x:c>
    </x:row>
    <x:row r="57" ht="53.25" customHeight="1">
      <x:c r="A57" s="28" t="n">
        <x:v>51</x:v>
      </x:c>
      <x:c r="B57" s="13" t="str">
        <x:v>THR-C13-S12</x:v>
      </x:c>
      <x:c r="C57" s="13" t="str">
        <x:v>통일의 바깥을 묻다</x:v>
      </x:c>
      <x:c r="D57" s="28" t="n">
        <x:v>77</x:v>
      </x:c>
      <x:c r="E57" s="61" t="str">
        <x:v>심화</x:v>
      </x:c>
      <x:c r="F57" s="28" t="n">
        <x:v>6</x:v>
      </x:c>
      <x:c r="G57" s="28" t="n">
        <x:v>2</x:v>
      </x:c>
      <x:c r="H57" s="49" t="str">
        <x:v>첫출제</x:v>
      </x:c>
      <x:c r="I57" s="13" t="str">
        <x:v>660년 나당 연합군의 백제 공격 준비와 676년 기벌포 전투 사이에서 백제 부흥 운동을 선택</x:v>
      </x:c>
      <x:c r="J57" s="13" t="str">
        <x:v>C09-S08, C09-S10, C13-S07, C13-S11</x:v>
      </x:c>
      <x:c r="K57" s="13" t="str">
        <x:v>서아: “네. 이번에는 온전한 그릇에 담긴 밥부터 보고 싶어요.”</x:v>
      </x:c>
      <x:c r="L57" s="13" t="str">
        <x:v>—</x:v>
      </x:c>
      <x:c r="M57" s="13" t="str">
        <x:v>덕물도 회동은 백제 멸망 직전인 660년, 기벌포 전투는 676년이다. 그 사이 백제 부흥 세력이 부여풍을 왕으로 추대했다. 나당 동맹 체결이나 대야성 함락은 첫 자료보다 앞선다.</x:v>
      </x:c>
      <x:c r="N57" s="13" t="str">
        <x:v>official-77-advanced-06</x:v>
      </x:c>
    </x:row>
    <x:row r="58" ht="42" customHeight="1">
      <x:c r="A58" s="27" t="n">
        <x:v>52</x:v>
      </x:c>
      <x:c r="B58" s="16" t="str">
        <x:v>THR-C13-S12</x:v>
      </x:c>
      <x:c r="C58" s="16" t="str">
        <x:v>통일의 바깥을 묻다</x:v>
      </x:c>
      <x:c r="D58" s="27" t="n">
        <x:v>58</x:v>
      </x:c>
      <x:c r="E58" s="60" t="str">
        <x:v>기본</x:v>
      </x:c>
      <x:c r="F58" s="27" t="n">
        <x:v>7</x:v>
      </x:c>
      <x:c r="G58" s="27" t="n">
        <x:v>1</x:v>
      </x:c>
      <x:c r="H58" s="49" t="str">
        <x:v>첫출제</x:v>
      </x:c>
      <x:c r="I58" s="16" t="str">
        <x:v>나당 전쟁과 기벌포 전투</x:v>
      </x:c>
      <x:c r="J58" s="16" t="str">
        <x:v>C13-S08, C13-S11, C13-S12</x:v>
      </x:c>
      <x:c r="K58" s="16" t="str">
        <x:v>서아: “네. 이번에는 온전한 그릇에 담긴 밥부터 보고 싶어요.”</x:v>
      </x:c>
      <x:c r="L58" s="16" t="str">
        <x:v>—</x:v>
      </x:c>
      <x:c r="M58" s="16" t="str">
        <x:v>신라는 676년 기벌포에서 당의 수군을 물리쳤다. 우금치·진주성·처인성 전투는 다른 시대의 사건이다.</x:v>
      </x:c>
      <x:c r="N58" s="16" t="str">
        <x:v>official-58-basic-07</x:v>
      </x:c>
    </x:row>
    <x:row r="59" ht="53.25" customHeight="1">
      <x:c r="A59" s="28" t="n">
        <x:v>53</x:v>
      </x:c>
      <x:c r="B59" s="13" t="str">
        <x:v>THR-C14-S06</x:v>
      </x:c>
      <x:c r="C59" s="13" t="str">
        <x:v>바다 건너의 계약</x:v>
      </x:c>
      <x:c r="D59" s="28" t="n">
        <x:v>79</x:v>
      </x:c>
      <x:c r="E59" s="61" t="str">
        <x:v>심화</x:v>
      </x:c>
      <x:c r="F59" s="28" t="n">
        <x:v>4</x:v>
      </x:c>
      <x:c r="G59" s="28" t="n">
        <x:v>1</x:v>
      </x:c>
      <x:c r="H59" s="49" t="str">
        <x:v>첫출제</x:v>
      </x:c>
      <x:c r="I59" s="13" t="str">
        <x:v>김해 대성동 고분군·김수로왕을 단서로 금관가야의 철 수출을 선택</x:v>
      </x:c>
      <x:c r="J59" s="13" t="str">
        <x:v>C14-S01, C14-S02, C14-S03, C14-S04, C14-S06</x:v>
      </x:c>
      <x:c r="K59" s="13" t="str">
        <x:v>서아: “네. 서로 같은 그림을 갖고 출발하면 좋겠어요.”</x:v>
      </x:c>
      <x:c r="L59" s="13" t="str">
        <x:v>—</x:v>
      </x:c>
      <x:c r="M59" s="13" t="str">
        <x:v>김수로왕 전승과 김해 대성동 고분군은 금관가야의 단서다. 가야 지역은 풍부한 철을 생산하여 낙랑과 왜에 수출했으므로 ①이 맞다.</x:v>
      </x:c>
      <x:c r="N59" s="13" t="str">
        <x:v>official-79-advanced-04</x:v>
      </x:c>
    </x:row>
    <x:row r="60" ht="53.25" customHeight="1">
      <x:c r="A60" s="27" t="n">
        <x:v>54</x:v>
      </x:c>
      <x:c r="B60" s="16" t="str">
        <x:v>THR-C14-S07</x:v>
      </x:c>
      <x:c r="C60" s="16" t="str">
        <x:v>갑옷 속의 사람</x:v>
      </x:c>
      <x:c r="D60" s="27" t="n">
        <x:v>69</x:v>
      </x:c>
      <x:c r="E60" s="60" t="str">
        <x:v>기본</x:v>
      </x:c>
      <x:c r="F60" s="27" t="n">
        <x:v>3</x:v>
      </x:c>
      <x:c r="G60" s="27" t="n">
        <x:v>4</x:v>
      </x:c>
      <x:c r="H60" s="49" t="str">
        <x:v>첫출제</x:v>
      </x:c>
      <x:c r="I60" s="16" t="str">
        <x:v>가야 문화유산 특별전에서 전시할 유물을 사진에서 고른다</x:v>
      </x:c>
      <x:c r="J60" s="16" t="str">
        <x:v>C14-S05, C14-S07</x:v>
      </x:c>
      <x:c r="K60" s="16" t="str">
        <x:v>서아: “저도 문 앞까지 같이 가도 될까요?”</x:v>
      </x:c>
      <x:c r="L60" s="16" t="str">
        <x:v>—</x:v>
      </x:c>
      <x:c r="M60" s="16" t="str">
        <x:v>가야는 철 생산과 가공이 발달했고 철제 갑옷을 남겼다. 따라서 가야 특별전에 적합한 유물은 ④ 철제 판갑옷이다. 호우명 그릇·성덕 대왕 신종·칠지도를 가야 유물로 묶어서는 안 된다.</x:v>
      </x:c>
      <x:c r="N60" s="16" t="str">
        <x:v>official-69-basic-03</x:v>
      </x:c>
    </x:row>
    <x:row r="61" ht="53.25" customHeight="1">
      <x:c r="A61" s="28" t="n">
        <x:v>55</x:v>
      </x:c>
      <x:c r="B61" s="13" t="str">
        <x:v>THR-C14-S08</x:v>
      </x:c>
      <x:c r="C61" s="13" t="str">
        <x:v>400년 뒤의 항구</x:v>
      </x:c>
      <x:c r="D61" s="28" t="n">
        <x:v>67</x:v>
      </x:c>
      <x:c r="E61" s="61" t="str">
        <x:v>기본</x:v>
      </x:c>
      <x:c r="F61" s="28" t="n">
        <x:v>3</x:v>
      </x:c>
      <x:c r="G61" s="28" t="n">
        <x:v>4</x:v>
      </x:c>
      <x:c r="H61" s="64" t="str">
        <x:v>복습후보</x:v>
      </x:c>
      <x:c r="I61" s="13" t="str">
        <x:v>거란·숙신·후연·동부여를 정벌한 고구려 왕의 업적을 고른다</x:v>
      </x:c>
      <x:c r="J61" s="13" t="str">
        <x:v>C14-S08</x:v>
      </x:c>
      <x:c r="K61" s="13" t="str">
        <x:v>서아: “그럼 오늘은 이 짐을 안쪽으로 옮겨요. 계속 물가에서 기다릴 필요는 없잖아요.”</x:v>
      </x:c>
      <x:c r="L61" s="13" t="str">
        <x:v>—</x:v>
      </x:c>
      <x:c r="M61" s="13" t="str">
        <x:v>자료의 고구려 제19대 왕은 광개토대왕이다. 광개토대왕은 신라에 침입한 왜를 물리치기 위해 군대를 보냈으므로 ④가 옳다. 태학 설립은 소수림왕, 평양 천도는 장수왕의 업적이다.</x:v>
      </x:c>
      <x:c r="N61" s="13" t="str">
        <x:v>official-67-basic-03</x:v>
      </x:c>
    </x:row>
    <x:row r="62" ht="53.25" customHeight="1">
      <x:c r="A62" s="27" t="n">
        <x:v>56</x:v>
      </x:c>
      <x:c r="B62" s="16" t="str">
        <x:v>THR-C15-S04</x:v>
      </x:c>
      <x:c r="C62" s="16" t="str">
        <x:v>무덤 밖의 침묵</x:v>
      </x:c>
      <x:c r="D62" s="27" t="n">
        <x:v>67</x:v>
      </x:c>
      <x:c r="E62" s="60" t="str">
        <x:v>기본</x:v>
      </x:c>
      <x:c r="F62" s="27" t="n">
        <x:v>6</x:v>
      </x:c>
      <x:c r="G62" s="27" t="n">
        <x:v>3</x:v>
      </x:c>
      <x:c r="H62" s="49" t="str">
        <x:v>첫출제</x:v>
      </x:c>
      <x:c r="I62" s="16" t="str">
        <x:v>김해·고령·함안 고분군의 유물을 남긴 나라의 특징을 고른다</x:v>
      </x:c>
      <x:c r="J62" s="16" t="str">
        <x:v>C15-S01, C15-S02, C15-S03, C15-S04</x:v>
      </x:c>
      <x:c r="K62" s="16" t="str">
        <x:v>서아: “잠깐 같이 앉아 주세요. 아무 말도 안 하셔도 돼요.”</x:v>
      </x:c>
      <x:c r="L62" s="16" t="str">
        <x:v>—</x:v>
      </x:c>
      <x:c r="M62" s="16" t="str">
        <x:v>김해·고령·함안의 고분군과 제시된 금속 유물은 가야의 여러 정치체를 가리킨다. 가야는 풍부한 철을 생산하여 낙랑과 왜 등에 수출하였으므로 ③이 옳다.</x:v>
      </x:c>
      <x:c r="N62" s="16" t="str">
        <x:v>official-67-basic-06</x:v>
      </x:c>
    </x:row>
    <x:row r="63" ht="53.25" customHeight="1">
      <x:c r="A63" s="28" t="n">
        <x:v>57</x:v>
      </x:c>
      <x:c r="B63" s="13" t="str">
        <x:v>THR-C15-S08</x:v>
      </x:c>
      <x:c r="C63" s="13" t="str">
        <x:v>정복 뒤에도 울리는 줄</x:v>
      </x:c>
      <x:c r="D63" s="28" t="n">
        <x:v>74</x:v>
      </x:c>
      <x:c r="E63" s="61" t="str">
        <x:v>심화</x:v>
      </x:c>
      <x:c r="F63" s="28" t="n">
        <x:v>4</x:v>
      </x:c>
      <x:c r="G63" s="28" t="n">
        <x:v>2</x:v>
      </x:c>
      <x:c r="H63" s="64" t="str">
        <x:v>복습후보</x:v>
      </x:c>
      <x:c r="I63" s="13" t="str">
        <x:v>성왕의 관산성 전사와 의자왕대 대야성 함락 사이의 사건을 묻는다</x:v>
      </x:c>
      <x:c r="J63" s="13" t="str">
        <x:v>C15-S05, C15-S06, C15-S07, C15-S08</x:v>
      </x:c>
      <x:c r="K63" s="13" t="str">
        <x:v>서아: “그릇 조각은 돌려놓고 갈게요. 이제는 온전한 그릇과 함께 밥 먹던 얼굴도 기억하니까요.”</x:v>
      </x:c>
      <x:c r="L63" s="13" t="str">
        <x:v>—</x:v>
      </x:c>
      <x:c r="M63" s="13" t="str">
        <x:v>관산성 전투와 대야성 함락 사이에 신라 진흥왕이 대가야를 병합했다. 따라서 ②가 옳으며, 남부여 개칭이나 한강 하류 확보를 이 구간의 사건으로 옮겨 놓으면 안 된다.</x:v>
      </x:c>
      <x:c r="N63" s="13" t="str">
        <x:v>official-74-advanced-04</x:v>
      </x:c>
    </x:row>
    <x:row r="64" ht="42" customHeight="1">
      <x:c r="A64" s="27" t="n">
        <x:v>58</x:v>
      </x:c>
      <x:c r="B64" s="16" t="str">
        <x:v>THR-C16-S02</x:v>
      </x:c>
      <x:c r="C64" s="16" t="str">
        <x:v>왕의 새 장부</x:v>
      </x:c>
      <x:c r="D64" s="27" t="n">
        <x:v>71</x:v>
      </x:c>
      <x:c r="E64" s="60" t="str">
        <x:v>심화</x:v>
      </x:c>
      <x:c r="F64" s="27" t="n">
        <x:v>6</x:v>
      </x:c>
      <x:c r="G64" s="27" t="n">
        <x:v>3</x:v>
      </x:c>
      <x:c r="H64" s="64" t="str">
        <x:v>복습후보</x:v>
      </x:c>
      <x:c r="I64" s="16" t="str">
        <x:v>지증왕의 국호·왕호·순장 금지·우산국 복속</x:v>
      </x:c>
      <x:c r="J64" s="16" t="str">
        <x:v>C16-S01</x:v>
      </x:c>
      <x:c r="K64" s="16" t="str">
        <x:v>서아: “네. 기다리는 분께 누가 답해 주시는지도 알려 드릴게요.”</x:v>
      </x:c>
      <x:c r="L64" s="16" t="str">
        <x:v>—</x:v>
      </x:c>
      <x:c r="M64" s="16" t="str">
        <x:v>국호를 신라로 확정하고 왕 칭호를 사용한 왕은 지증왕이다. 지증왕 때 이사부가 우산국을 복속하였다.</x:v>
      </x:c>
      <x:c r="N64" s="16" t="str">
        <x:v>official-71-advanced-06</x:v>
      </x:c>
    </x:row>
    <x:row r="65" ht="67.5" customHeight="1">
      <x:c r="A65" s="28" t="n">
        <x:v>59</x:v>
      </x:c>
      <x:c r="B65" s="13" t="str">
        <x:v>THR-C16-S03</x:v>
      </x:c>
      <x:c r="C65" s="13" t="str">
        <x:v>국학의 자리</x:v>
      </x:c>
      <x:c r="D65" s="28" t="n">
        <x:v>75</x:v>
      </x:c>
      <x:c r="E65" s="61" t="str">
        <x:v>기본</x:v>
      </x:c>
      <x:c r="F65" s="28" t="n">
        <x:v>6</x:v>
      </x:c>
      <x:c r="G65" s="28" t="n">
        <x:v>3</x:v>
      </x:c>
      <x:c r="H65" s="49" t="str">
        <x:v>첫출제</x:v>
      </x:c>
      <x:c r="I65" s="13" t="str">
        <x:v>흥덕왕 대 골품에 따른 옷감 사용 규정이 있던 국가의 제도를 고른다</x:v>
      </x:c>
      <x:c r="J65" s="13" t="str">
        <x:v>C16-S03</x:v>
      </x:c>
      <x:c r="K65" s="13" t="str">
        <x:v>서아: “네. 여기까지 읽었다고 보여 주세요. 내일 이어 볼 자리도요.”</x:v>
      </x:c>
      <x:c r="L65" s="13" t="str">
        <x:v>—</x:v>
      </x:c>
      <x:c r="M65" s="13" t="str">
        <x:v>흥덕왕과 골품별 복식 규정은 신라의 자료이다. 신라는 교육 기관인 국학을 두었으므로 ③이 옳다. 국학은 신문왕 때 세워졌으며, 자료에 흥덕왕이 나온다고 흥덕왕이 국학을 설립한 것으로 연결하면 안 된다.</x:v>
      </x:c>
      <x:c r="N65" s="13" t="str">
        <x:v>official-75-basic-06</x:v>
      </x:c>
    </x:row>
    <x:row r="66" ht="53.25" customHeight="1">
      <x:c r="A66" s="27" t="n">
        <x:v>60</x:v>
      </x:c>
      <x:c r="B66" s="16" t="str">
        <x:v>THR-C16-S04</x:v>
      </x:c>
      <x:c r="C66" s="16" t="str">
        <x:v>아홉 주의 이름</x:v>
      </x:c>
      <x:c r="D66" s="27" t="n">
        <x:v>74</x:v>
      </x:c>
      <x:c r="E66" s="60" t="str">
        <x:v>심화</x:v>
      </x:c>
      <x:c r="F66" s="27" t="n">
        <x:v>6</x:v>
      </x:c>
      <x:c r="G66" s="27" t="n">
        <x:v>5</x:v>
      </x:c>
      <x:c r="H66" s="49" t="str">
        <x:v>첫출제</x:v>
      </x:c>
      <x:c r="I66" s="16" t="str">
        <x:v>감은사를 짓기 시작한 문무왕의 정책을 묻는다</x:v>
      </x:c>
      <x:c r="J66" s="16" t="str">
        <x:v>C11-S10, C12-S10, C16-S03, C16-S04</x:v>
      </x:c>
      <x:c r="K66" s="16" t="str">
        <x:v>서아: “그걸 보여 드리면 안심하시겠어요. 밖에 모시고 올게요.”</x:v>
      </x:c>
      <x:c r="L66" s="16" t="str">
        <x:v>—</x:v>
      </x:c>
      <x:c r="M66" s="16" t="str">
        <x:v>감은사 착공과 대왕암 수중릉으로 설명된 왕은 문무왕이다. 지방관을 감찰하기 위한 외사정 파견이 그의 정책이므로 ⑤를 고른다. 관료전·녹읍 정책은 아들 신문왕과 구별한다.</x:v>
      </x:c>
      <x:c r="N66" s="16" t="str">
        <x:v>official-74-advanced-06</x:v>
      </x:c>
    </x:row>
    <x:row r="67" ht="53.25" customHeight="1">
      <x:c r="A67" s="28" t="n">
        <x:v>61</x:v>
      </x:c>
      <x:c r="B67" s="13" t="str">
        <x:v>THR-C16-S08</x:v>
      </x:c>
      <x:c r="C67" s="13" t="str">
        <x:v>사라진 녹읍의 주인</x:v>
      </x:c>
      <x:c r="D67" s="28" t="n">
        <x:v>76</x:v>
      </x:c>
      <x:c r="E67" s="61" t="str">
        <x:v>심화</x:v>
      </x:c>
      <x:c r="F67" s="28" t="n">
        <x:v>6</x:v>
      </x:c>
      <x:c r="G67" s="28" t="n">
        <x:v>2</x:v>
      </x:c>
      <x:c r="H67" s="49" t="str">
        <x:v>첫출제</x:v>
      </x:c>
      <x:c r="I67" s="13" t="str">
        <x:v>국학·9주·통합 군대로 신문왕을 식별하고 관료전·녹읍 개혁을 선택</x:v>
      </x:c>
      <x:c r="J67" s="13" t="str">
        <x:v>C13-S05, C16-S02, C16-S04, C16-S05, C16-S06, C16-S07, C16-S08</x:v>
      </x:c>
      <x:c r="K67" s="13" t="str">
        <x:v>서아: “네. 한 분씩 확인하실 수 있게 제가 옆에 있을게요.”</x:v>
      </x:c>
      <x:c r="L67" s="13" t="str">
        <x:v>—</x:v>
      </x:c>
      <x:c r="M67" s="13" t="str">
        <x:v>세 단서는 신문왕의 통치 체제 정비를 가리킨다. 신문왕은 관료전을 지급하고 녹읍을 폐지했으므로 ②가 맞다. 국학과 독서삼품과의 시행 왕을 구별해야 한다.</x:v>
      </x:c>
      <x:c r="N67" s="13" t="str">
        <x:v>official-76-advanced-06</x:v>
      </x:c>
    </x:row>
    <x:row r="68" ht="53.25" customHeight="1">
      <x:c r="A68" s="27" t="n">
        <x:v>62</x:v>
      </x:c>
      <x:c r="B68" s="16" t="str">
        <x:v>THR-C16-S10</x:v>
      </x:c>
      <x:c r="C68" s="16" t="str">
        <x:v>다시 돌아온 녹읍</x:v>
      </x:c>
      <x:c r="D68" s="27" t="n">
        <x:v>76</x:v>
      </x:c>
      <x:c r="E68" s="60" t="str">
        <x:v>심화</x:v>
      </x:c>
      <x:c r="F68" s="27" t="n">
        <x:v>6</x:v>
      </x:c>
      <x:c r="G68" s="27" t="n">
        <x:v>2</x:v>
      </x:c>
      <x:c r="H68" s="64" t="str">
        <x:v>복습후보</x:v>
      </x:c>
      <x:c r="I68" s="16" t="str">
        <x:v>국학·9주·통합 군대로 신문왕을 식별하고 관료전·녹읍 개혁을 선택</x:v>
      </x:c>
      <x:c r="J68" s="16" t="str">
        <x:v>C16-S10</x:v>
      </x:c>
      <x:c r="K68" s="16" t="str">
        <x:v>서아: “제가 열게요. 옛 이름부터 말씀하셔도 된다고 전해 드릴게요.”</x:v>
      </x:c>
      <x:c r="L68" s="16" t="str">
        <x:v>—</x:v>
      </x:c>
      <x:c r="M68" s="16" t="str">
        <x:v>세 단서는 신문왕의 통치 체제 정비를 가리킨다. 신문왕은 관료전을 지급하고 녹읍을 폐지했으므로 ②가 맞다. 국학과 독서삼품과의 시행 왕을 구별해야 한다.</x:v>
      </x:c>
      <x:c r="N68" s="16" t="str">
        <x:v>official-76-advanced-06</x:v>
      </x:c>
    </x:row>
    <x:row r="69" ht="53.25" customHeight="1">
      <x:c r="A69" s="28" t="n">
        <x:v>63</x:v>
      </x:c>
      <x:c r="B69" s="13" t="str">
        <x:v>THR-C17-S02</x:v>
      </x:c>
      <x:c r="C69" s="13" t="str">
        <x:v>모두를 위한 노래</x:v>
      </x:c>
      <x:c r="D69" s="28" t="n">
        <x:v>61</x:v>
      </x:c>
      <x:c r="E69" s="61" t="str">
        <x:v>심화</x:v>
      </x:c>
      <x:c r="F69" s="28" t="n">
        <x:v>5</x:v>
      </x:c>
      <x:c r="G69" s="28" t="n">
        <x:v>1</x:v>
      </x:c>
      <x:c r="H69" s="49" t="str">
        <x:v>첫출제</x:v>
      </x:c>
      <x:c r="I69" s="13" t="str">
        <x:v>원효의 일심·화쟁과 불교 대중화</x:v>
      </x:c>
      <x:c r="J69" s="13" t="str">
        <x:v>C13-S03, C17-S01, C17-S02</x:v>
      </x:c>
      <x:c r="K69" s="13" t="str">
        <x:v>서아: “그럼 첫 줄은 제가 읽어 드릴게요. 천천히요.”</x:v>
      </x:c>
      <x:c r="L69" s="13" t="str">
        <x:v>—</x:v>
      </x:c>
      <x:c r="M69" s="13" t="str">
        <x:v>교설의 대립을 조화하려 한 화쟁 사상과 일심 사상은 원효의 활동이다. 왕오천축국전은 혜초, 황룡사 목탑 건의는 자장, 걸사표는 원광과 연결한다.</x:v>
      </x:c>
      <x:c r="N69" s="13" t="str">
        <x:v>official-61-advanced-05</x:v>
      </x:c>
    </x:row>
    <x:row r="70" ht="67.5" customHeight="1">
      <x:c r="A70" s="27" t="n">
        <x:v>64</x:v>
      </x:c>
      <x:c r="B70" s="16" t="str">
        <x:v>THR-C17-S03</x:v>
      </x:c>
      <x:c r="C70" s="16" t="str">
        <x:v>하나로 이어진 잎</x:v>
      </x:c>
      <x:c r="D70" s="27" t="n">
        <x:v>73</x:v>
      </x:c>
      <x:c r="E70" s="60" t="str">
        <x:v>기본</x:v>
      </x:c>
      <x:c r="F70" s="27" t="n">
        <x:v>4</x:v>
      </x:c>
      <x:c r="G70" s="27" t="n">
        <x:v>3</x:v>
      </x:c>
      <x:c r="H70" s="49" t="str">
        <x:v>첫출제</x:v>
      </x:c>
      <x:c r="I70" s="16" t="str">
        <x:v>화엄종 개창·부석사 건립·관음 신앙과 관련된 승려를 고른다</x:v>
      </x:c>
      <x:c r="J70" s="16" t="str">
        <x:v>C17-S03</x:v>
      </x:c>
      <x:c r="K70" s="16" t="str">
        <x:v>기록책·현대 주석: “후대의 5교 분류로 연결하기: 법성종—원효·분황사 / 화엄종—의상·부석사 / 열반종—보덕·경복사 / 계율종—자장·통도사 / 법상종—진표·금산사. 서로 다른 시기의 활동을 한날의 종단 창설로 읽지 않는다.”</x:v>
      </x:c>
      <x:c r="L70" s="16" t="str">
        <x:v>—</x:v>
      </x:c>
      <x:c r="M70" s="16" t="str">
        <x:v>화엄종을 개창하고 부석사를 세운 승려는 의상이다. 관음 신앙을 강조했다는 단서도 의상과 연결되므로 ③이 정답이다.</x:v>
      </x:c>
      <x:c r="N70" s="16" t="str">
        <x:v>official-73-basic-04</x:v>
      </x:c>
    </x:row>
    <x:row r="71" ht="42" customHeight="1">
      <x:c r="A71" s="28" t="n">
        <x:v>65</x:v>
      </x:c>
      <x:c r="B71" s="13" t="str">
        <x:v>THR-C17-S05</x:v>
      </x:c>
      <x:c r="C71" s="13" t="str">
        <x:v>두 탑의 다른 그림자</x:v>
      </x:c>
      <x:c r="D71" s="28" t="n">
        <x:v>61</x:v>
      </x:c>
      <x:c r="E71" s="61" t="str">
        <x:v>기본</x:v>
      </x:c>
      <x:c r="F71" s="28" t="n">
        <x:v>8</x:v>
      </x:c>
      <x:c r="G71" s="28" t="n">
        <x:v>1</x:v>
      </x:c>
      <x:c r="H71" s="49" t="str">
        <x:v>첫출제</x:v>
      </x:c>
      <x:c r="I71" s="13" t="str">
        <x:v>불국사와 삼층석탑</x:v>
      </x:c>
      <x:c r="J71" s="13" t="str">
        <x:v>C17-S04, C17-S05</x:v>
      </x:c>
      <x:c r="K71" s="13" t="str">
        <x:v>서아: “탑 바깥을 그린 오늘 옆에, 훗날 안에서 찾은 기록도 따로 붙여 둘게요.”</x:v>
      </x:c>
      <x:c r="L71" s="13" t="str">
        <x:v>—</x:v>
      </x:c>
      <x:c r="M71" s="13" t="str">
        <x:v>청운교·백운교가 있는 불국사의 삼층석탑, 즉 석가탑을 고른다. 성덕대왕신종은 현재 국립경주박물관에 보존되어 있다.</x:v>
      </x:c>
      <x:c r="N71" s="13" t="str">
        <x:v>official-61-basic-08</x:v>
      </x:c>
    </x:row>
    <x:row r="72" ht="67.5" customHeight="1">
      <x:c r="A72" s="27" t="n">
        <x:v>66</x:v>
      </x:c>
      <x:c r="B72" s="16" t="str">
        <x:v>THR-C17-S06</x:v>
      </x:c>
      <x:c r="C72" s="16" t="str">
        <x:v>바위 속의 얼굴</x:v>
      </x:c>
      <x:c r="D72" s="27" t="n">
        <x:v>67</x:v>
      </x:c>
      <x:c r="E72" s="60" t="str">
        <x:v>기본</x:v>
      </x:c>
      <x:c r="F72" s="27" t="n">
        <x:v>9</x:v>
      </x:c>
      <x:c r="G72" s="27" t="n">
        <x:v>1</x:v>
      </x:c>
      <x:c r="H72" s="49" t="str">
        <x:v>첫출제</x:v>
      </x:c>
      <x:c r="I72" s="16" t="str">
        <x:v>화강암으로 만든 석굴암 내부의 불상을 사진에서 찾는다</x:v>
      </x:c>
      <x:c r="J72" s="16" t="str">
        <x:v>C17-S06</x:v>
      </x:c>
      <x:c r="K72" s="16" t="str">
        <x:v>서아: “조금은 남겨 둘래요. 여기서 들은 말을 다시 찾을 표식이 될 것 같아서요.”</x:v>
      </x:c>
      <x:c r="L72" s="16" t="str">
        <x:v>—</x:v>
      </x:c>
      <x:c r="M72" s="16" t="str">
        <x:v>①은 석굴암 내부 연화 대좌에 앉아 있는 본존불의 사진이다. 석굴암은 화강암을 이용해 조성한 인공 석굴 사원이므로 자료의 설명과 일치한다. 정답은 사진 속 불상의 모습으로 확인해야 한다.</x:v>
      </x:c>
      <x:c r="N72" s="16" t="str">
        <x:v>official-67-basic-09</x:v>
      </x:c>
    </x:row>
    <x:row r="73" ht="53.25" customHeight="1">
      <x:c r="A73" s="28" t="n">
        <x:v>67</x:v>
      </x:c>
      <x:c r="B73" s="13" t="str">
        <x:v>THR-C17-S07</x:v>
      </x:c>
      <x:c r="C73" s="13" t="str">
        <x:v>돌아오지 않은 여행자</x:v>
      </x:c>
      <x:c r="D73" s="28" t="n">
        <x:v>61</x:v>
      </x:c>
      <x:c r="E73" s="61" t="str">
        <x:v>심화</x:v>
      </x:c>
      <x:c r="F73" s="28" t="n">
        <x:v>5</x:v>
      </x:c>
      <x:c r="G73" s="28" t="n">
        <x:v>1</x:v>
      </x:c>
      <x:c r="H73" s="64" t="str">
        <x:v>복습후보</x:v>
      </x:c>
      <x:c r="I73" s="13" t="str">
        <x:v>원효의 일심·화쟁과 불교 대중화</x:v>
      </x:c>
      <x:c r="J73" s="13" t="str">
        <x:v>C17-S07</x:v>
      </x:c>
      <x:c r="K73" s="13" t="str">
        <x:v>필사자: “그 물음 하나면 이 먼 길을 너무 쉽게 접지는 않겠군.”</x:v>
      </x:c>
      <x:c r="L73" s="13" t="str">
        <x:v>—</x:v>
      </x:c>
      <x:c r="M73" s="13" t="str">
        <x:v>교설의 대립을 조화하려 한 화쟁 사상과 일심 사상은 원효의 활동이다. 왕오천축국전은 혜초, 황룡사 목탑 건의는 자장, 걸사표는 원광과 연결한다.</x:v>
      </x:c>
      <x:c r="N73" s="13" t="str">
        <x:v>official-61-advanced-05</x:v>
      </x:c>
    </x:row>
    <x:row r="74" ht="42" customHeight="1">
      <x:c r="A74" s="27" t="n">
        <x:v>68</x:v>
      </x:c>
      <x:c r="B74" s="16" t="str">
        <x:v>THR-C17-S08</x:v>
      </x:c>
      <x:c r="C74" s="16" t="str">
        <x:v>종소리에 남은 노동</x:v>
      </x:c>
      <x:c r="D74" s="27" t="n">
        <x:v>61</x:v>
      </x:c>
      <x:c r="E74" s="60" t="str">
        <x:v>기본</x:v>
      </x:c>
      <x:c r="F74" s="27" t="n">
        <x:v>8</x:v>
      </x:c>
      <x:c r="G74" s="27" t="n">
        <x:v>1</x:v>
      </x:c>
      <x:c r="H74" s="64" t="str">
        <x:v>복습후보</x:v>
      </x:c>
      <x:c r="I74" s="16" t="str">
        <x:v>불국사와 삼층석탑</x:v>
      </x:c>
      <x:c r="J74" s="16" t="str">
        <x:v>C17-S08</x:v>
      </x:c>
      <x:c r="K74" s="16" t="str">
        <x:v>서아: “해명 씨의 손수건 옆에 이 종의 제작 연도를 적었어요. 제가 보지 못한 손들도 있었을 테니까요.”</x:v>
      </x:c>
      <x:c r="L74" s="16" t="str">
        <x:v>—</x:v>
      </x:c>
      <x:c r="M74" s="16" t="str">
        <x:v>청운교·백운교가 있는 불국사의 삼층석탑, 즉 석가탑을 고른다. 성덕대왕신종은 현재 국립경주박물관에 보존되어 있다.</x:v>
      </x:c>
      <x:c r="N74" s="16" t="str">
        <x:v>official-61-basic-08</x:v>
      </x:c>
    </x:row>
    <x:row r="75" ht="67.5" customHeight="1">
      <x:c r="A75" s="28" t="n">
        <x:v>69</x:v>
      </x:c>
      <x:c r="B75" s="13" t="str">
        <x:v>THR-C18-S03</x:v>
      </x:c>
      <x:c r="C75" s="13" t="str">
        <x:v>세 나라의 물건</x:v>
      </x:c>
      <x:c r="D75" s="28" t="n">
        <x:v>66</x:v>
      </x:c>
      <x:c r="E75" s="61" t="str">
        <x:v>심화</x:v>
      </x:c>
      <x:c r="F75" s="28" t="n">
        <x:v>6</x:v>
      </x:c>
      <x:c r="G75" s="28" t="n">
        <x:v>5</x:v>
      </x:c>
      <x:c r="H75" s="49" t="str">
        <x:v>첫출제</x:v>
      </x:c>
      <x:c r="I75" s="13" t="str">
        <x:v>청해진과 당 교역로를 단서로 통일신라의 경제 제도를 고른다</x:v>
      </x:c>
      <x:c r="J75" s="13" t="str">
        <x:v>C16-S09, C16-S10, C18-S03</x:v>
      </x:c>
      <x:c r="K75" s="13" t="str">
        <x:v>서아: “고마워요. 연락이 오면 원래 편지의 표지까지 남겨 주세요.”</x:v>
      </x:c>
      <x:c r="L75" s="13" t="str">
        <x:v>—</x:v>
      </x:c>
      <x:c r="M75" s="13" t="str">
        <x:v>청해진을 통해 해상 교역을 활발히 전개한 국가는 통일신라이다. 통일신라는 촌락의 인구와 토지 등을 조사해 조세 수취 자료로 삼았으며, 원문 정답은 ⑤의 3년마다 작성한 촌락 문서이다.</x:v>
      </x:c>
      <x:c r="N75" s="13" t="str">
        <x:v>official-66-advanced-06</x:v>
      </x:c>
    </x:row>
    <x:row r="76" ht="53.25" customHeight="1">
      <x:c r="A76" s="27" t="n">
        <x:v>70</x:v>
      </x:c>
      <x:c r="B76" s="16" t="str">
        <x:v>THR-C18-S03</x:v>
      </x:c>
      <x:c r="C76" s="16" t="str">
        <x:v>세 나라의 물건</x:v>
      </x:c>
      <x:c r="D76" s="27" t="n">
        <x:v>75</x:v>
      </x:c>
      <x:c r="E76" s="60" t="str">
        <x:v>기본</x:v>
      </x:c>
      <x:c r="F76" s="27" t="n">
        <x:v>8</x:v>
      </x:c>
      <x:c r="G76" s="27" t="n">
        <x:v>4</x:v>
      </x:c>
      <x:c r="H76" s="49" t="str">
        <x:v>첫출제</x:v>
      </x:c>
      <x:c r="I76" s="16" t="str">
        <x:v>장보고의 활동을 다루는 강좌 제목으로 적절한 내용을 고른다</x:v>
      </x:c>
      <x:c r="J76" s="16" t="str">
        <x:v>C17-S09, C18-S01, C18-S02, C18-S03</x:v>
      </x:c>
      <x:c r="K76" s="16" t="str">
        <x:v>서아: “고마워요. 연락이 오면 원래 편지의 표지까지 남겨 주세요.”</x:v>
      </x:c>
      <x:c r="L76" s="16" t="str">
        <x:v>—</x:v>
      </x:c>
      <x:c r="M76" s="16" t="str">
        <x:v>장보고는 청해진을 중심으로 동아시아 해상 무역에서 활동하였다. 적산법화원과 엔닌의 구법 활동이라는 자료의 단서도 장보고와 연결되므로 ④가 적절하다.</x:v>
      </x:c>
      <x:c r="N76" s="16" t="str">
        <x:v>official-75-basic-08</x:v>
      </x:c>
    </x:row>
    <x:row r="77" ht="67.5" customHeight="1">
      <x:c r="A77" s="28" t="n">
        <x:v>71</x:v>
      </x:c>
      <x:c r="B77" s="13" t="str">
        <x:v>THR-C18-S03</x:v>
      </x:c>
      <x:c r="C77" s="13" t="str">
        <x:v>세 나라의 물건</x:v>
      </x:c>
      <x:c r="D77" s="28" t="n">
        <x:v>76</x:v>
      </x:c>
      <x:c r="E77" s="61" t="str">
        <x:v>심화</x:v>
      </x:c>
      <x:c r="F77" s="28" t="n">
        <x:v>5</x:v>
      </x:c>
      <x:c r="G77" s="28" t="n">
        <x:v>4</x:v>
      </x:c>
      <x:c r="H77" s="49" t="str">
        <x:v>첫출제</x:v>
      </x:c>
      <x:c r="I77" s="13" t="str">
        <x:v>신라 촌락 문서를 식별하고 청해진 해상 무역과 연결</x:v>
      </x:c>
      <x:c r="J77" s="13" t="str">
        <x:v>C16-S09, C18-S02</x:v>
      </x:c>
      <x:c r="K77" s="13" t="str">
        <x:v>서아: “고마워요. 연락이 오면 원래 편지의 표지까지 남겨 주세요.”</x:v>
      </x:c>
      <x:c r="L77" s="13" t="str">
        <x:v>—</x:v>
      </x:c>
      <x:c r="M77" s="13" t="str">
        <x:v>자료의 촌락 문서는 통일신라의 문서다. 인구·토지·가축 등을 파악한 행정 자료로 국가를 식별한 뒤, 같은 시대 경제의 특징인 청해진 해상 무역을 고른다. 문서 자체에 청해진 무역이 적혀 있다는 뜻은 아니다.</x:v>
      </x:c>
      <x:c r="N77" s="13" t="str">
        <x:v>official-76-advanced-05</x:v>
      </x:c>
    </x:row>
    <x:row r="78" ht="53.25" customHeight="1">
      <x:c r="A78" s="27" t="n">
        <x:v>72</x:v>
      </x:c>
      <x:c r="B78" s="16" t="str">
        <x:v>THR-C18-S07</x:v>
      </x:c>
      <x:c r="C78" s="16" t="str">
        <x:v>닫히는 청해진</x:v>
      </x:c>
      <x:c r="D78" s="27" t="n">
        <x:v>75</x:v>
      </x:c>
      <x:c r="E78" s="60" t="str">
        <x:v>기본</x:v>
      </x:c>
      <x:c r="F78" s="27" t="n">
        <x:v>8</x:v>
      </x:c>
      <x:c r="G78" s="27" t="n">
        <x:v>4</x:v>
      </x:c>
      <x:c r="H78" s="64" t="str">
        <x:v>복습후보</x:v>
      </x:c>
      <x:c r="I78" s="16" t="str">
        <x:v>장보고의 활동을 다루는 강좌 제목으로 적절한 내용을 고른다</x:v>
      </x:c>
      <x:c r="J78" s="16" t="str">
        <x:v>C18-S04</x:v>
      </x:c>
      <x:c r="K78" s="16" t="str">
        <x:v>서아: “당연하죠. 그 말을 지우려고 이사 가는 게 아니잖아요.”</x:v>
      </x:c>
      <x:c r="L78" s="16" t="str">
        <x:v>—</x:v>
      </x:c>
      <x:c r="M78" s="16" t="str">
        <x:v>장보고는 청해진을 중심으로 동아시아 해상 무역에서 활동하였다. 적산법화원과 엔닌의 구법 활동이라는 자료의 단서도 장보고와 연결되므로 ④가 적절하다.</x:v>
      </x:c>
      <x:c r="N78" s="16" t="str">
        <x:v>official-75-basic-08</x:v>
      </x:c>
    </x:row>
    <x:row r="79" ht="42" customHeight="1">
      <x:c r="A79" s="28" t="n">
        <x:v>73</x:v>
      </x:c>
      <x:c r="B79" s="13" t="str">
        <x:v>THR-C18-S07</x:v>
      </x:c>
      <x:c r="C79" s="13" t="str">
        <x:v>닫히는 청해진</x:v>
      </x:c>
      <x:c r="D79" s="28" t="n">
        <x:v>74</x:v>
      </x:c>
      <x:c r="E79" s="61" t="str">
        <x:v>심화</x:v>
      </x:c>
      <x:c r="F79" s="28" t="n">
        <x:v>9</x:v>
      </x:c>
      <x:c r="G79" s="28" t="n">
        <x:v>2</x:v>
      </x:c>
      <x:c r="H79" s="49" t="str">
        <x:v>첫출제</x:v>
      </x:c>
      <x:c r="I79" s="13" t="str">
        <x:v>장보고의 무령군 소장 경력과 청해진 사이에 놓일 활동을 고른다</x:v>
      </x:c>
      <x:c r="J79" s="13" t="str">
        <x:v>C18-S03, C18-S05, C18-S06, C18-S07</x:v>
      </x:c>
      <x:c r="K79" s="13" t="str">
        <x:v>서아: “당연하죠. 그 말을 지우려고 이사 가는 게 아니잖아요.”</x:v>
      </x:c>
      <x:c r="L79" s="13" t="str">
        <x:v>—</x:v>
      </x:c>
      <x:c r="M79" s="13" t="str">
        <x:v>무령군 소장으로 활동하고 청해진을 설치한 인물은 장보고이다. 그가 산둥반도에 세운 적산 법화원을 고르는 ②가 옳다.</x:v>
      </x:c>
      <x:c r="N79" s="13" t="str">
        <x:v>official-74-advanced-09</x:v>
      </x:c>
    </x:row>
    <x:row r="80" ht="67.5" customHeight="1">
      <x:c r="A80" s="27" t="n">
        <x:v>74</x:v>
      </x:c>
      <x:c r="B80" s="16" t="str">
        <x:v>THR-C19-S01</x:v>
      </x:c>
      <x:c r="C80" s="16" t="str">
        <x:v>822년의 깃발</x:v>
      </x:c>
      <x:c r="D80" s="27" t="n">
        <x:v>79</x:v>
      </x:c>
      <x:c r="E80" s="60" t="str">
        <x:v>심화</x:v>
      </x:c>
      <x:c r="F80" s="27" t="n">
        <x:v>10</x:v>
      </x:c>
      <x:c r="G80" s="27" t="n">
        <x:v>3</x:v>
      </x:c>
      <x:c r="H80" s="49" t="str">
        <x:v>첫출제</x:v>
      </x:c>
      <x:c r="I80" s="16" t="str">
        <x:v>혜공왕 피살과 장보고의 혼인 문제 사이에서 김헌창의 난을 선택</x:v>
      </x:c>
      <x:c r="J80" s="16" t="str">
        <x:v>C18-S05, C19-S01</x:v>
      </x:c>
      <x:c r="K80" s="16" t="str">
        <x:v>서아: “같은 글자 아래 서로 다른 사정이 있었어요. 이 묶음의 표지를 다시 써야겠어요.”</x:v>
      </x:c>
      <x:c r="L80" s="16" t="str">
        <x:v>—</x:v>
      </x:c>
      <x:c r="M80" s="16" t="str">
        <x:v>첫 자료는 780년 혜공왕 피살, 둘째는 9세기 장보고의 딸 혼인 문제다. 822년 김헌창의 난은 그 사이에 해당한다. 견훤 건국과 최치원의 시무책은 뒤이고, 걸사표와 김춘추 즉위는 앞이다.</x:v>
      </x:c>
      <x:c r="N80" s="16" t="str">
        <x:v>official-79-advanced-10</x:v>
      </x:c>
    </x:row>
    <x:row r="81" ht="67.5" customHeight="1">
      <x:c r="A81" s="28" t="n">
        <x:v>75</x:v>
      </x:c>
      <x:c r="B81" s="13" t="str">
        <x:v>THR-C19-S01</x:v>
      </x:c>
      <x:c r="C81" s="13" t="str">
        <x:v>822년의 깃발</x:v>
      </x:c>
      <x:c r="D81" s="28" t="n">
        <x:v>78</x:v>
      </x:c>
      <x:c r="E81" s="61" t="str">
        <x:v>심화</x:v>
      </x:c>
      <x:c r="F81" s="28" t="n">
        <x:v>8</x:v>
      </x:c>
      <x:c r="G81" s="28" t="n">
        <x:v>3</x:v>
      </x:c>
      <x:c r="H81" s="49" t="str">
        <x:v>첫출제</x:v>
      </x:c>
      <x:c r="I81" s="13" t="str">
        <x:v>혜공왕 피살 이후 신라 하대의 왕위 다툼과 김헌창의 난을 연결</x:v>
      </x:c>
      <x:c r="J81" s="13" t="str">
        <x:v>C11-S06, C13-S04, C19-S01</x:v>
      </x:c>
      <x:c r="K81" s="13" t="str">
        <x:v>서아: “같은 글자 아래 서로 다른 사정이 있었어요. 이 묶음의 표지를 다시 써야겠어요.”</x:v>
      </x:c>
      <x:c r="L81" s="13" t="str">
        <x:v>—</x:v>
      </x:c>
      <x:c r="M81" s="13" t="str">
        <x:v>묻는 시기는 흥덕왕 한 사람의 재위 기간만이 아니라 혜공왕 피살 이후의 신라 하대다. 이 시기에 일어난 김헌창의 난이 ③이다. 김헌창의 난을 흥덕왕 때의 사건이라고 바꾸어 설명하면 오류가 된다.</x:v>
      </x:c>
      <x:c r="N81" s="13" t="str">
        <x:v>official-78-advanced-08</x:v>
      </x:c>
    </x:row>
    <x:row r="82" ht="67.5" customHeight="1">
      <x:c r="A82" s="27" t="n">
        <x:v>76</x:v>
      </x:c>
      <x:c r="B82" s="16" t="str">
        <x:v>THR-C19-S02</x:v>
      </x:c>
      <x:c r="C82" s="16" t="str">
        <x:v>벼슬의 마지막 칸</x:v>
      </x:c>
      <x:c r="D82" s="27" t="n">
        <x:v>75</x:v>
      </x:c>
      <x:c r="E82" s="60" t="str">
        <x:v>기본</x:v>
      </x:c>
      <x:c r="F82" s="27" t="n">
        <x:v>6</x:v>
      </x:c>
      <x:c r="G82" s="27" t="n">
        <x:v>3</x:v>
      </x:c>
      <x:c r="H82" s="64" t="str">
        <x:v>복습후보</x:v>
      </x:c>
      <x:c r="I82" s="16" t="str">
        <x:v>흥덕왕 대 골품에 따른 옷감 사용 규정이 있던 국가의 제도를 고른다</x:v>
      </x:c>
      <x:c r="J82" s="16" t="str">
        <x:v>C19-S02</x:v>
      </x:c>
      <x:c r="K82" s="16" t="str">
        <x:v>서아: “아직 다 못 읽었잖아요. 계속 들려주세요.”</x:v>
      </x:c>
      <x:c r="L82" s="16" t="str">
        <x:v>—</x:v>
      </x:c>
      <x:c r="M82" s="16" t="str">
        <x:v>흥덕왕과 골품별 복식 규정은 신라의 자료이다. 신라는 교육 기관인 국학을 두었으므로 ③이 옳다. 국학은 신문왕 때 세워졌으며, 자료에 흥덕왕이 나온다고 흥덕왕이 국학을 설립한 것으로 연결하면 안 된다.</x:v>
      </x:c>
      <x:c r="N82" s="16" t="str">
        <x:v>official-75-basic-06</x:v>
      </x:c>
    </x:row>
    <x:row r="83" ht="53.25" customHeight="1">
      <x:c r="A83" s="28" t="n">
        <x:v>77</x:v>
      </x:c>
      <x:c r="B83" s="13" t="str">
        <x:v>THR-C19-S03</x:v>
      </x:c>
      <x:c r="C83" s="13" t="str">
        <x:v>스스로 지킨 성</x:v>
      </x:c>
      <x:c r="D83" s="28" t="n">
        <x:v>67</x:v>
      </x:c>
      <x:c r="E83" s="61" t="str">
        <x:v>기본</x:v>
      </x:c>
      <x:c r="F83" s="28" t="n">
        <x:v>10</x:v>
      </x:c>
      <x:c r="G83" s="28" t="n">
        <x:v>2</x:v>
      </x:c>
      <x:c r="H83" s="49" t="str">
        <x:v>첫출제</x:v>
      </x:c>
      <x:c r="I83" s="13" t="str">
        <x:v>신라 말 지방에서 독자적인 지배력을 형성한 세력의 이름을 고른다</x:v>
      </x:c>
      <x:c r="J83" s="13" t="str">
        <x:v>C18-S08, C19-S03</x:v>
      </x:c>
      <x:c r="K83" s="13" t="str">
        <x:v>서아: “네. 두 문장 중 하나를 지우라는 말이 나오면, 왜 둘 다 필요한지 다시 묻겠어요.”</x:v>
      </x:c>
      <x:c r="L83" s="13" t="str">
        <x:v>—</x:v>
      </x:c>
      <x:c r="M83" s="13" t="str">
        <x:v>신라 말 지방에서 독자적인 지배 기반을 갖추고 성주나 장군을 자칭한 세력은 호족이다. 따라서 ②가 정답이다. 권문세족과 신진 사대부는 고려 후기의 세력이다.</x:v>
      </x:c>
      <x:c r="N83" s="13" t="str">
        <x:v>official-67-basic-10</x:v>
      </x:c>
    </x:row>
    <x:row r="84" ht="67.5" customHeight="1">
      <x:c r="A84" s="27" t="n">
        <x:v>78</x:v>
      </x:c>
      <x:c r="B84" s="16" t="str">
        <x:v>THR-C19-S04</x:v>
      </x:c>
      <x:c r="C84" s="16" t="str">
        <x:v>참선하는 밤</x:v>
      </x:c>
      <x:c r="D84" s="27" t="n">
        <x:v>77</x:v>
      </x:c>
      <x:c r="E84" s="60" t="str">
        <x:v>심화</x:v>
      </x:c>
      <x:c r="F84" s="27" t="n">
        <x:v>10</x:v>
      </x:c>
      <x:c r="G84" s="27" t="n">
        <x:v>4</x:v>
      </x:c>
      <x:c r="H84" s="49" t="str">
        <x:v>첫출제</x:v>
      </x:c>
      <x:c r="I84" s="16" t="str">
        <x:v>청해진 폐지와 벽골군 이주가 일어난 신라 하대에 선종 승려의 활동을 연결</x:v>
      </x:c>
      <x:c r="J84" s="16" t="str">
        <x:v>C18-S07, C19-S04</x:v>
      </x:c>
      <x:c r="K84" s="16" t="str">
        <x:v>기록책·후대 참고: “구산선문을 정리할 때 이엄의 수미산문은 고려 936년의 사례로 덧붙인다. 이 장의 9세기 승려가 이미 성립한 산문으로 말하지 않는다.”</x:v>
      </x:c>
      <x:c r="L84" s="16" t="str">
        <x:v>—</x:v>
      </x:c>
      <x:c r="M84" s="16" t="str">
        <x:v>뉴스는 851년 청해진 폐지와 주민 이주를 가리킨다. 신라 하대에는 선종이 확산되었으므로 진전사에서 참선하는 승려를 볼 수 있다. 이 문항은 장보고 사망과 청해진 폐지를 한 날짜로 합치지 않도록 주의한다.</x:v>
      </x:c>
      <x:c r="N84" s="16" t="str">
        <x:v>official-77-advanced-10</x:v>
      </x:c>
    </x:row>
    <x:row r="85" ht="53.25" customHeight="1">
      <x:c r="A85" s="28" t="n">
        <x:v>79</x:v>
      </x:c>
      <x:c r="B85" s="13" t="str">
        <x:v>THR-C19-S04</x:v>
      </x:c>
      <x:c r="C85" s="13" t="str">
        <x:v>참선하는 밤</x:v>
      </x:c>
      <x:c r="D85" s="28" t="n">
        <x:v>74</x:v>
      </x:c>
      <x:c r="E85" s="61" t="str">
        <x:v>심화</x:v>
      </x:c>
      <x:c r="F85" s="28" t="n">
        <x:v>8</x:v>
      </x:c>
      <x:c r="G85" s="28" t="n">
        <x:v>2</x:v>
      </x:c>
      <x:c r="H85" s="49" t="str">
        <x:v>첫출제</x:v>
      </x:c>
      <x:c r="I85" s="13" t="str">
        <x:v>보림사 철불과 9산문을 단서로 신라 말 선종을 묻는다</x:v>
      </x:c>
      <x:c r="J85" s="13" t="str">
        <x:v>C19-S04</x:v>
      </x:c>
      <x:c r="K85" s="13" t="str">
        <x:v>기록책·후대 참고: “구산선문을 정리할 때 이엄의 수미산문은 고려 936년의 사례로 덧붙인다. 이 장의 9세기 승려가 이미 성립한 산문으로 말하지 않는다.”</x:v>
      </x:c>
      <x:c r="L85" s="13" t="str">
        <x:v>—</x:v>
      </x:c>
      <x:c r="M85" s="13" t="str">
        <x:v>9산문, 철불, 승탑으로 이어지는 신라 말의 불교 흐름은 선종이다. 선종이 참선과 수행으로 깨달음을 강조했다는 ②가 옳다.</x:v>
      </x:c>
      <x:c r="N85" s="13" t="str">
        <x:v>official-74-advanced-08</x:v>
      </x:c>
    </x:row>
    <x:row r="86" ht="42" customHeight="1">
      <x:c r="A86" s="27" t="n">
        <x:v>80</x:v>
      </x:c>
      <x:c r="B86" s="16" t="str">
        <x:v>THR-C19-S07</x:v>
      </x:c>
      <x:c r="C86" s="16" t="str">
        <x:v>원종과 애노의 목소리</x:v>
      </x:c>
      <x:c r="D86" s="27" t="n">
        <x:v>61</x:v>
      </x:c>
      <x:c r="E86" s="60" t="str">
        <x:v>심화</x:v>
      </x:c>
      <x:c r="F86" s="27" t="n">
        <x:v>8</x:v>
      </x:c>
      <x:c r="G86" s="27" t="n">
        <x:v>4</x:v>
      </x:c>
      <x:c r="H86" s="49" t="str">
        <x:v>첫출제</x:v>
      </x:c>
      <x:c r="I86" s="16" t="str">
        <x:v>김헌창의 난 이후 원종·애노의 봉기</x:v>
      </x:c>
      <x:c r="J86" s="16" t="str">
        <x:v>C19-S06, C19-S07</x:v>
      </x:c>
      <x:c r="K86" s="16" t="str">
        <x:v>서아: “다음에 이 종이를 펴는 사람에게, 이름부터 읽어 달라고 쓸게요.”</x:v>
      </x:c>
      <x:c r="L86" s="16" t="str">
        <x:v>—</x:v>
      </x:c>
      <x:c r="M86" s="16" t="str">
        <x:v>김헌창의 난은 822년, 원종과 애노의 봉기는 889년이다. 다른 선택지는 6~7세기 신라의 사건이다.</x:v>
      </x:c>
      <x:c r="N86" s="16" t="str">
        <x:v>official-61-advanced-08</x:v>
      </x:c>
    </x:row>
    <x:row r="87" ht="53.25" customHeight="1">
      <x:c r="A87" s="28" t="n">
        <x:v>81</x:v>
      </x:c>
      <x:c r="B87" s="13" t="str">
        <x:v>THR-C19-S08</x:v>
      </x:c>
      <x:c r="C87" s="13" t="str">
        <x:v>열 가지 건의의 문</x:v>
      </x:c>
      <x:c r="D87" s="28" t="n">
        <x:v>67</x:v>
      </x:c>
      <x:c r="E87" s="61" t="str">
        <x:v>기본</x:v>
      </x:c>
      <x:c r="F87" s="28" t="n">
        <x:v>10</x:v>
      </x:c>
      <x:c r="G87" s="28" t="n">
        <x:v>2</x:v>
      </x:c>
      <x:c r="H87" s="64" t="str">
        <x:v>복습후보</x:v>
      </x:c>
      <x:c r="I87" s="13" t="str">
        <x:v>신라 말 지방에서 독자적인 지배력을 형성한 세력의 이름을 고른다</x:v>
      </x:c>
      <x:c r="J87" s="13" t="str">
        <x:v>C19-S05</x:v>
      </x:c>
      <x:c r="K87" s="13" t="str">
        <x:v>기록책·현대 주석: “889년 원종·애노의 난 이후에도 지방의 동요가 이어졌으며 896년 적고적의 봉기가 나타난다. 894년 대화 속 인물이 그 사건을 예언하지 않는다.”</x:v>
      </x:c>
      <x:c r="L87" s="13" t="str">
        <x:v>—</x:v>
      </x:c>
      <x:c r="M87" s="13" t="str">
        <x:v>신라 말 지방에서 독자적인 지배 기반을 갖추고 성주나 장군을 자칭한 세력은 호족이다. 따라서 ②가 정답이다. 권문세족과 신진 사대부는 고려 후기의 세력이다.</x:v>
      </x:c>
      <x:c r="N87" s="13" t="str">
        <x:v>official-67-basic-10</x:v>
      </x:c>
    </x:row>
    <x:row r="88" ht="53.25" customHeight="1">
      <x:c r="A88" s="27" t="n">
        <x:v>82</x:v>
      </x:c>
      <x:c r="B88" s="16" t="str">
        <x:v>THR-C19-S08</x:v>
      </x:c>
      <x:c r="C88" s="16" t="str">
        <x:v>열 가지 건의의 문</x:v>
      </x:c>
      <x:c r="D88" s="27" t="n">
        <x:v>70</x:v>
      </x:c>
      <x:c r="E88" s="60" t="str">
        <x:v>심화</x:v>
      </x:c>
      <x:c r="F88" s="27" t="n">
        <x:v>8</x:v>
      </x:c>
      <x:c r="G88" s="27" t="n">
        <x:v>3</x:v>
      </x:c>
      <x:c r="H88" s="49" t="str">
        <x:v>첫출제</x:v>
      </x:c>
      <x:c r="I88" s="16" t="str">
        <x:v>진성여왕에게 시무 10여 조를 올린 최치원의 활동을 묻는다</x:v>
      </x:c>
      <x:c r="J88" s="16" t="str">
        <x:v>C19-S08</x:v>
      </x:c>
      <x:c r="K88" s="16" t="str">
        <x:v>기록책·현대 주석: “889년 원종·애노의 난 이후에도 지방의 동요가 이어졌으며 896년 적고적의 봉기가 나타난다. 894년 대화 속 인물이 그 사건을 예언하지 않는다.”</x:v>
      </x:c>
      <x:c r="L88" s="16" t="str">
        <x:v>—</x:v>
      </x:c>
      <x:c r="M88" s="16" t="str">
        <x:v>진성여왕에게 시무 10여 조를 올린 인물은 최치원이다. 그는 당에서 격황소서, 곧 토황소격문으로 문명을 떨쳤으므로 ③이 옳다.</x:v>
      </x:c>
      <x:c r="N88" s="16" t="str">
        <x:v>official-70-advanced-08</x:v>
      </x:c>
    </x:row>
    <x:row r="89" ht="42" customHeight="1">
      <x:c r="A89" s="28" t="n">
        <x:v>83</x:v>
      </x:c>
      <x:c r="B89" s="13" t="str">
        <x:v>THR-C21-S02</x:v>
      </x:c>
      <x:c r="C89" s="13" t="str">
        <x:v>등주로 향한 돛</x:v>
      </x:c>
      <x:c r="D89" s="28" t="n">
        <x:v>61</x:v>
      </x:c>
      <x:c r="E89" s="61" t="str">
        <x:v>심화</x:v>
      </x:c>
      <x:c r="F89" s="28" t="n">
        <x:v>10</x:v>
      </x:c>
      <x:c r="G89" s="28" t="n">
        <x:v>1</x:v>
      </x:c>
      <x:c r="H89" s="49" t="str">
        <x:v>첫출제</x:v>
      </x:c>
      <x:c r="I89" s="13" t="str">
        <x:v>발해 무왕과 장문휴의 등주 공격</x:v>
      </x:c>
      <x:c r="J89" s="13" t="str">
        <x:v>C20-S04, C20-S08, C21-S01, C21-S02</x:v>
      </x:c>
      <x:c r="K89" s="13" t="str">
        <x:v>서아: “배가 뜨기 전에 확인할 일이 더 있으면 말씀해 주세요.”</x:v>
      </x:c>
      <x:c r="L89" s="13" t="str">
        <x:v>—</x:v>
      </x:c>
      <x:c r="M89" s="13" t="str">
        <x:v>대문예와 대립한 발해 왕은 무왕이다. 무왕은 장문휴를 보내 732년 당의 등주를 공격하였다.</x:v>
      </x:c>
      <x:c r="N89" s="13" t="str">
        <x:v>official-61-advanced-10</x:v>
      </x:c>
    </x:row>
    <x:row r="90" ht="42" customHeight="1">
      <x:c r="A90" s="27" t="n">
        <x:v>84</x:v>
      </x:c>
      <x:c r="B90" s="16" t="str">
        <x:v>THR-C21-S05</x:v>
      </x:c>
      <x:c r="C90" s="16" t="str">
        <x:v>상경의 긴 길</x:v>
      </x:c>
      <x:c r="D90" s="27" t="n">
        <x:v>63</x:v>
      </x:c>
      <x:c r="E90" s="60" t="str">
        <x:v>심화</x:v>
      </x:c>
      <x:c r="F90" s="27" t="n">
        <x:v>8</x:v>
      </x:c>
      <x:c r="G90" s="27" t="n">
        <x:v>4</x:v>
      </x:c>
      <x:c r="H90" s="49" t="str">
        <x:v>첫출제</x:v>
      </x:c>
      <x:c r="I90" s="16" t="str">
        <x:v>발해 문왕의 대흥과 상경 천도</x:v>
      </x:c>
      <x:c r="J90" s="16" t="str">
        <x:v>C21-S03, C21-S04, C21-S05</x:v>
      </x:c>
      <x:c r="K90" s="16" t="str">
        <x:v>서아: “아버지의 옛 주소는 지우지 않고, 아들의 새 주소를 옆에 썼어요.”</x:v>
      </x:c>
      <x:c r="L90" s="16" t="str">
        <x:v>—</x:v>
      </x:c>
      <x:c r="M90" s="16" t="str">
        <x:v>대흥 연호와 정효공주의 아버지라는 단서는 문왕을 가리킨다. 문왕은 상경 용천부로 수도를 옮겨 통치 체제를 정비하였다.</x:v>
      </x:c>
      <x:c r="N90" s="16" t="str">
        <x:v>official-63-advanced-08</x:v>
      </x:c>
    </x:row>
    <x:row r="91" ht="42" customHeight="1">
      <x:c r="A91" s="28" t="n">
        <x:v>85</x:v>
      </x:c>
      <x:c r="B91" s="13" t="str">
        <x:v>THR-C21-S07</x:v>
      </x:c>
      <x:c r="C91" s="13" t="str">
        <x:v>다섯 경으로 가는 서신</x:v>
      </x:c>
      <x:c r="D91" s="28" t="n">
        <x:v>77</x:v>
      </x:c>
      <x:c r="E91" s="61" t="str">
        <x:v>심화</x:v>
      </x:c>
      <x:c r="F91" s="28" t="n">
        <x:v>7</x:v>
      </x:c>
      <x:c r="G91" s="28" t="n">
        <x:v>2</x:v>
      </x:c>
      <x:c r="H91" s="49" t="str">
        <x:v>첫출제</x:v>
      </x:c>
      <x:c r="I91" s="13" t="str">
        <x:v>5경·15부와 여러 나라의 교류를 단서로 발해의 주자감을 선택</x:v>
      </x:c>
      <x:c r="J91" s="13" t="str">
        <x:v>C21-S04, C21-S07</x:v>
      </x:c>
      <x:c r="K91" s="13" t="str">
        <x:v>서아: “받는 사람이 또 한 계절을 기다리지 않게요.”</x:v>
      </x:c>
      <x:c r="L91" s="13" t="str">
        <x:v>—</x:v>
      </x:c>
      <x:c r="M91" s="13" t="str">
        <x:v>5경·15부의 지방 제도와 주변국 관계는 발해의 단서다. 발해의 교육 기관인 주자감을 고르는 문항이다.</x:v>
      </x:c>
      <x:c r="N91" s="13" t="str">
        <x:v>official-77-advanced-07</x:v>
      </x:c>
    </x:row>
    <x:row r="92" ht="42" customHeight="1">
      <x:c r="A92" s="27" t="n">
        <x:v>86</x:v>
      </x:c>
      <x:c r="B92" s="16" t="str">
        <x:v>THR-C21-S08</x:v>
      </x:c>
      <x:c r="C92" s="16" t="str">
        <x:v>두 공주의 무덤</x:v>
      </x:c>
      <x:c r="D92" s="27" t="n">
        <x:v>63</x:v>
      </x:c>
      <x:c r="E92" s="60" t="str">
        <x:v>심화</x:v>
      </x:c>
      <x:c r="F92" s="27" t="n">
        <x:v>8</x:v>
      </x:c>
      <x:c r="G92" s="27" t="n">
        <x:v>4</x:v>
      </x:c>
      <x:c r="H92" s="64" t="str">
        <x:v>복습후보</x:v>
      </x:c>
      <x:c r="I92" s="16" t="str">
        <x:v>발해 문왕의 대흥과 상경 천도</x:v>
      </x:c>
      <x:c r="J92" s="16" t="str">
        <x:v>C21-S08</x:v>
      </x:c>
      <x:c r="K92" s="16" t="str">
        <x:v>서아: “정혜·굴식돌방·돌사자, 정효·벽돌무덤. 이번에는 글자마다 누구의 삶인지 붙여 뒀어요.”</x:v>
      </x:c>
      <x:c r="L92" s="16" t="str">
        <x:v>—</x:v>
      </x:c>
      <x:c r="M92" s="16" t="str">
        <x:v>대흥 연호와 정효공주의 아버지라는 단서는 문왕을 가리킨다. 문왕은 상경 용천부로 수도를 옮겨 통치 체제를 정비하였다.</x:v>
      </x:c>
      <x:c r="N92" s="16" t="str">
        <x:v>official-63-advanced-08</x:v>
      </x:c>
    </x:row>
    <x:row r="93" ht="53.25" customHeight="1">
      <x:c r="A93" s="28" t="n">
        <x:v>87</x:v>
      </x:c>
      <x:c r="B93" s="13" t="str">
        <x:v>THR-C21-S09</x:v>
      </x:c>
      <x:c r="C93" s="13" t="str">
        <x:v>온돌 곁의 두 부처</x:v>
      </x:c>
      <x:c r="D93" s="28" t="n">
        <x:v>66</x:v>
      </x:c>
      <x:c r="E93" s="61" t="str">
        <x:v>심화</x:v>
      </x:c>
      <x:c r="F93" s="28" t="n">
        <x:v>8</x:v>
      </x:c>
      <x:c r="G93" s="28" t="n">
        <x:v>5</x:v>
      </x:c>
      <x:c r="H93" s="49" t="str">
        <x:v>첫출제</x:v>
      </x:c>
      <x:c r="I93" s="13" t="str">
        <x:v>발해 유적의 연꽃무늬 수막새와 온돌을 통해 고구려 문화 계승을 묻는다</x:v>
      </x:c>
      <x:c r="J93" s="13" t="str">
        <x:v>C20-S05, C20-S06, C21-S09</x:v>
      </x:c>
      <x:c r="K93" s="13" t="str">
        <x:v>서아: “어떤 나라의 영향인지 묻기 전에, 이곳 사람이 매일 보고 쓰던 것이었다는 말도 남겼어요.”</x:v>
      </x:c>
      <x:c r="L93" s="13" t="str">
        <x:v>—</x:v>
      </x:c>
      <x:c r="M93" s="13" t="str">
        <x:v>두 사진은 발해 유적의 수막새와 온돌이다. 고구려 문화와 이어지는 특징을 함께 보여 주므로 탐구 주제는 ⑤ 발해와 고구려의 문화적 연관성이다.</x:v>
      </x:c>
      <x:c r="N93" s="13" t="str">
        <x:v>official-66-advanced-08</x:v>
      </x:c>
    </x:row>
    <x:row r="94" ht="42" customHeight="1">
      <x:c r="A94" s="27" t="n">
        <x:v>88</x:v>
      </x:c>
      <x:c r="B94" s="16" t="str">
        <x:v>THR-C21-S10</x:v>
      </x:c>
      <x:c r="C94" s="16" t="str">
        <x:v>전성기 뒤의 빈 기록</x:v>
      </x:c>
      <x:c r="D94" s="27" t="n">
        <x:v>70</x:v>
      </x:c>
      <x:c r="E94" s="60" t="str">
        <x:v>심화</x:v>
      </x:c>
      <x:c r="F94" s="27" t="n">
        <x:v>7</x:v>
      </x:c>
      <x:c r="G94" s="27" t="n">
        <x:v>4</x:v>
      </x:c>
      <x:c r="H94" s="49" t="str">
        <x:v>첫출제</x:v>
      </x:c>
      <x:c r="I94" s="16" t="str">
        <x:v>고구려 옛 장수 대조영이 세운 발해의 지방 제도를 묻는다</x:v>
      </x:c>
      <x:c r="J94" s="16" t="str">
        <x:v>C19-S09, C20-S01, C20-S02, C21-S10</x:v>
      </x:c>
      <x:c r="K94" s="16" t="str">
        <x:v>서아: “큰 나라라는 이름 다음에도, 사람들이 살던 날들을 빠뜨리지 않을게요.”</x:v>
      </x:c>
      <x:c r="L94" s="16" t="str">
        <x:v>—</x:v>
      </x:c>
      <x:c r="M94" s="16" t="str">
        <x:v>고구려 옛 장수 대조영이 세운 나라는 발해이다. 발해의 지방 행정 조직인 5경 15부 62주를 고르는 ④가 옳다.</x:v>
      </x:c>
      <x:c r="N94" s="16" t="str">
        <x:v>official-70-advanced-07</x:v>
      </x:c>
    </x:row>
    <x:row r="95" ht="53.25" customHeight="1">
      <x:c r="A95" s="28" t="n">
        <x:v>89</x:v>
      </x:c>
      <x:c r="B95" s="13" t="str">
        <x:v>THR-C21-S10</x:v>
      </x:c>
      <x:c r="C95" s="13" t="str">
        <x:v>전성기 뒤의 빈 기록</x:v>
      </x:c>
      <x:c r="D95" s="28" t="n">
        <x:v>75</x:v>
      </x:c>
      <x:c r="E95" s="61" t="str">
        <x:v>기본</x:v>
      </x:c>
      <x:c r="F95" s="28" t="n">
        <x:v>9</x:v>
      </x:c>
      <x:c r="G95" s="28" t="n">
        <x:v>4</x:v>
      </x:c>
      <x:c r="H95" s="49" t="str">
        <x:v>첫출제</x:v>
      </x:c>
      <x:c r="I95" s="13" t="str">
        <x:v>대조영이 건국하고 5경 15부 62주를 둔 국가의 특징을 고른다</x:v>
      </x:c>
      <x:c r="J95" s="13" t="str">
        <x:v>C21-S06, C21-S10</x:v>
      </x:c>
      <x:c r="K95" s="13" t="str">
        <x:v>서아: “큰 나라라는 이름 다음에도, 사람들이 살던 날들을 빠뜨리지 않을게요.”</x:v>
      </x:c>
      <x:c r="L95" s="13" t="str">
        <x:v>—</x:v>
      </x:c>
      <x:c r="M95" s="13" t="str">
        <x:v>대조영의 건국과 5경 15부 62주는 발해를 가리킨다. 발해는 해동성국이라고 불렸으므로 ④가 옳다. 자료에 나열된 지방 제도가 건국 직후 모두 완성되었다고 해석하지 않는다.</x:v>
      </x:c>
      <x:c r="N95" s="13" t="str">
        <x:v>official-75-basic-09</x:v>
      </x:c>
    </x:row>
    <x:row r="96" ht="53.25" customHeight="1">
      <x:c r="A96" s="27" t="n">
        <x:v>90</x:v>
      </x:c>
      <x:c r="B96" s="16" t="str">
        <x:v>THR-C22-S03</x:v>
      </x:c>
      <x:c r="C96" s="16" t="str">
        <x:v>폭발 때문이라는 말</x:v>
      </x:c>
      <x:c r="D96" s="27" t="n">
        <x:v>66</x:v>
      </x:c>
      <x:c r="E96" s="60" t="str">
        <x:v>심화</x:v>
      </x:c>
      <x:c r="F96" s="27" t="n">
        <x:v>8</x:v>
      </x:c>
      <x:c r="G96" s="27" t="n">
        <x:v>5</x:v>
      </x:c>
      <x:c r="H96" s="64" t="str">
        <x:v>복습후보</x:v>
      </x:c>
      <x:c r="I96" s="16" t="str">
        <x:v>발해 유적의 연꽃무늬 수막새와 온돌을 통해 고구려 문화 계승을 묻는다</x:v>
      </x:c>
      <x:c r="J96" s="16" t="str">
        <x:v>C22-S02</x:v>
      </x:c>
      <x:c r="K96" s="16" t="str">
        <x:v>서아: “나라의 날짜는 여기서 닫히지만, 은서 씨 가족의 다음 날은 아직 남아 있어요.”</x:v>
      </x:c>
      <x:c r="L96" s="16" t="str">
        <x:v>—</x:v>
      </x:c>
      <x:c r="M96" s="16" t="str">
        <x:v>두 사진은 발해 유적의 수막새와 온돌이다. 고구려 문화와 이어지는 특징을 함께 보여 주므로 탐구 주제는 ⑤ 발해와 고구려의 문화적 연관성이다.</x:v>
      </x:c>
      <x:c r="N96" s="16" t="str">
        <x:v>official-66-advanced-08</x:v>
      </x:c>
    </x:row>
    <x:row r="97" ht="67.5" customHeight="1">
      <x:c r="A97" s="28" t="n">
        <x:v>91</x:v>
      </x:c>
      <x:c r="B97" s="13" t="str">
        <x:v>THR-C22-S07</x:v>
      </x:c>
      <x:c r="C97" s="13" t="str">
        <x:v>왕의 귀환은 없다</x:v>
      </x:c>
      <x:c r="D97" s="28" t="n">
        <x:v>73</x:v>
      </x:c>
      <x:c r="E97" s="61" t="str">
        <x:v>기본</x:v>
      </x:c>
      <x:c r="F97" s="28" t="n">
        <x:v>9</x:v>
      </x:c>
      <x:c r="G97" s="28" t="n">
        <x:v>1</x:v>
      </x:c>
      <x:c r="H97" s="49" t="str">
        <x:v>첫출제</x:v>
      </x:c>
      <x:c r="I97" s="13" t="str">
        <x:v>해동성국이며 유득공이 역사를 정리한 국가의 건국 사실을 고른다</x:v>
      </x:c>
      <x:c r="J97" s="13" t="str">
        <x:v>C20-S03, C20-S04, C20-S07, C21-S06, C22-S03, C22-S04, C22-S05, C22-S07</x:v>
      </x:c>
      <x:c r="K97" s="13" t="str">
        <x:v>서아: “마지막 줄은 비워 둬도 되겠어요. 이미 끝난 나라와 아직 끝나지 않은 사람의 이야기를 억지로 같은 문장에 넣지 않을게요.”</x:v>
      </x:c>
      <x:c r="L97" s="13" t="str">
        <x:v>—</x:v>
      </x:c>
      <x:c r="M97" s="13" t="str">
        <x:v>해동성국이라는 표현과 유득공의 역사 정리가 가리키는 나라는 발해이다. 대조영이 동모산에서 발해를 세웠으므로 ①이 옳다. 안시성 전투와 집사부, 무태·성책 연호는 발해의 사실이 아니다.</x:v>
      </x:c>
      <x:c r="N97" s="13" t="str">
        <x:v>official-73-basic-09</x:v>
      </x:c>
    </x:row>
    <x:row r="98" ht="53.25" customHeight="1">
      <x:c r="A98" s="27" t="n">
        <x:v>92</x:v>
      </x:c>
      <x:c r="B98" s="16" t="str">
        <x:v>THR-C22-S07</x:v>
      </x:c>
      <x:c r="C98" s="16" t="str">
        <x:v>왕의 귀환은 없다</x:v>
      </x:c>
      <x:c r="D98" s="27" t="n">
        <x:v>66</x:v>
      </x:c>
      <x:c r="E98" s="60" t="str">
        <x:v>심화</x:v>
      </x:c>
      <x:c r="F98" s="27" t="n">
        <x:v>8</x:v>
      </x:c>
      <x:c r="G98" s="27" t="n">
        <x:v>5</x:v>
      </x:c>
      <x:c r="H98" s="64" t="str">
        <x:v>복습후보</x:v>
      </x:c>
      <x:c r="I98" s="16" t="str">
        <x:v>발해 유적의 연꽃무늬 수막새와 온돌을 통해 고구려 문화 계승을 묻는다</x:v>
      </x:c>
      <x:c r="J98" s="16" t="str">
        <x:v>C22-S06, C22-S07</x:v>
      </x:c>
      <x:c r="K98" s="16" t="str">
        <x:v>서아: “마지막 줄은 비워 둬도 되겠어요. 이미 끝난 나라와 아직 끝나지 않은 사람의 이야기를 억지로 같은 문장에 넣지 않을게요.”</x:v>
      </x:c>
      <x:c r="L98" s="16" t="str">
        <x:v>—</x:v>
      </x:c>
      <x:c r="M98" s="16" t="str">
        <x:v>두 사진은 발해 유적의 수막새와 온돌이다. 고구려 문화와 이어지는 특징을 함께 보여 주므로 탐구 주제는 ⑤ 발해와 고구려의 문화적 연관성이다.</x:v>
      </x:c>
      <x:c r="N98" s="16" t="str">
        <x:v>official-66-advanced-08</x:v>
      </x:c>
    </x:row>
    <x:row r="99" ht="53.25" customHeight="1">
      <x:c r="A99" s="28" t="n">
        <x:v>93</x:v>
      </x:c>
      <x:c r="B99" s="13" t="str">
        <x:v>THR-C23-S05</x:v>
      </x:c>
      <x:c r="C99" s="13" t="str">
        <x:v>철원의 궁궐과 논</x:v>
      </x:c>
      <x:c r="D99" s="28" t="n">
        <x:v>69</x:v>
      </x:c>
      <x:c r="E99" s="61" t="str">
        <x:v>기본</x:v>
      </x:c>
      <x:c r="F99" s="28" t="n">
        <x:v>10</x:v>
      </x:c>
      <x:c r="G99" s="28" t="n">
        <x:v>3</x:v>
      </x:c>
      <x:c r="H99" s="49" t="str">
        <x:v>첫출제</x:v>
      </x:c>
      <x:c r="I99" s="13" t="str">
        <x:v>송악에서 철원으로 수도를 옮긴 인물의 활동을 고른다</x:v>
      </x:c>
      <x:c r="J99" s="13" t="str">
        <x:v>C22-S08, C23-S04, C23-S05</x:v>
      </x:c>
      <x:c r="K99" s="13" t="str">
        <x:v>서아: “그 말은 도하 씨가 직접 쓰세요. 제가 종이와 먹을 가져올게요.”</x:v>
      </x:c>
      <x:c r="L99" s="13" t="str">
        <x:v>—</x:v>
      </x:c>
      <x:c r="M99" s="13" t="str">
        <x:v>송악에서 철원으로 수도를 옮기고 광평성 등 관서를 정비한 인물은 궁예이다. 궁예는 국호를 후고구려에서 마진, 다시 태봉으로 바꾸었으므로 ③이 옳다.</x:v>
      </x:c>
      <x:c r="N99" s="13" t="str">
        <x:v>official-69-basic-10</x:v>
      </x:c>
    </x:row>
    <x:row r="100" ht="110.25" customHeight="1">
      <x:c r="A100" s="27" t="n">
        <x:v>94</x:v>
      </x:c>
      <x:c r="B100" s="16" t="str">
        <x:v>THR-C23-S05</x:v>
      </x:c>
      <x:c r="C100" s="16" t="str">
        <x:v>철원의 궁궐과 논</x:v>
      </x:c>
      <x:c r="D100" s="27" t="n">
        <x:v>79</x:v>
      </x:c>
      <x:c r="E100" s="60" t="str">
        <x:v>심화</x:v>
      </x:c>
      <x:c r="F100" s="27" t="n">
        <x:v>9</x:v>
      </x:c>
      <x:c r="G100" s="27" t="n">
        <x:v>5</x:v>
      </x:c>
      <x:c r="H100" s="49" t="str">
        <x:v>첫출제</x:v>
      </x:c>
      <x:c r="I100" s="16" t="str">
        <x:v>양길의 부하 출신으로 철원에 도읍하고 태봉을 세운 궁예를 식별</x:v>
      </x:c>
      <x:c r="J100" s="16" t="str">
        <x:v>C23-S01, C23-S02, C23-S03, C23-S04, C23-S05</x:v>
      </x:c>
      <x:c r="K100" s="16" t="str">
        <x:v>서아: “그 말은 도하 씨가 직접 쓰세요. 제가 종이와 먹을 가져올게요.”</x:v>
      </x:c>
      <x:c r="L100" s="16" t="str">
        <x:v>—</x:v>
      </x:c>
      <x:c r="M100" s="16" t="str">
        <x:v>태봉과 철원이라는 자료 단서가 가리키는 인물은 궁예다. 궁예가 설치한 광평성이 제시된 ⑤가 정답이다. 후당·오월과 외교한 활동은 앞서 배운 견훤의 업적이다.
[뒤로 미룰 해설] 공산 전사·사심관·일리천 등 다른 선지의 상세 해설은 CH23S10 후대 기록을 읽은 뒤 기출 확장 해설로 제공한다.</x:v>
      </x:c>
      <x:c r="N100" s="16" t="str">
        <x:v>official-79-advanced-09</x:v>
      </x:c>
    </x:row>
    <x:row r="101" ht="53.25" customHeight="1">
      <x:c r="A101" s="28" t="n">
        <x:v>95</x:v>
      </x:c>
      <x:c r="B101" s="13" t="str">
        <x:v>THR-C23-S05</x:v>
      </x:c>
      <x:c r="C101" s="13" t="str">
        <x:v>철원의 궁궐과 논</x:v>
      </x:c>
      <x:c r="D101" s="28" t="n">
        <x:v>77</x:v>
      </x:c>
      <x:c r="E101" s="61" t="str">
        <x:v>심화</x:v>
      </x:c>
      <x:c r="F101" s="28" t="n">
        <x:v>9</x:v>
      </x:c>
      <x:c r="G101" s="28" t="n">
        <x:v>2</x:v>
      </x:c>
      <x:c r="H101" s="49" t="str">
        <x:v>첫출제</x:v>
      </x:c>
      <x:c r="I101" s="13" t="str">
        <x:v>왕건에게 나주 방어를 맡기고 송악에서 철원으로 옮긴 궁예의 광평성을 확인</x:v>
      </x:c>
      <x:c r="J101" s="13" t="str">
        <x:v>C23-S03, C23-S05</x:v>
      </x:c>
      <x:c r="K101" s="13" t="str">
        <x:v>서아: “그 말은 도하 씨가 직접 쓰세요. 제가 종이와 먹을 가져올게요.”</x:v>
      </x:c>
      <x:c r="L101" s="13" t="str">
        <x:v>—</x:v>
      </x:c>
      <x:c r="M101" s="13" t="str">
        <x:v>왕건이 궁예의 부하로 활동한 상황과 송악에서 철원으로 옮긴 일을 결합하면 인물은 궁예다. 궁예가 마련한 광평성이 ②에 제시되어 있다.</x:v>
      </x:c>
      <x:c r="N101" s="13" t="str">
        <x:v>official-77-advanced-09</x:v>
      </x:c>
    </x:row>
    <x:row r="102" ht="42" customHeight="1">
      <x:c r="A102" s="27" t="n">
        <x:v>96</x:v>
      </x:c>
      <x:c r="B102" s="16" t="str">
        <x:v>THR-C23-S08</x:v>
      </x:c>
      <x:c r="C102" s="16" t="str">
        <x:v>북쪽 사람의 다음 자리</x:v>
      </x:c>
      <x:c r="D102" s="27" t="n">
        <x:v>61</x:v>
      </x:c>
      <x:c r="E102" s="60" t="str">
        <x:v>심화</x:v>
      </x:c>
      <x:c r="F102" s="27" t="n">
        <x:v>11</x:v>
      </x:c>
      <x:c r="G102" s="27" t="n">
        <x:v>2</x:v>
      </x:c>
      <x:c r="H102" s="49" t="str">
        <x:v>첫출제</x:v>
      </x:c>
      <x:c r="I102" s="16" t="str">
        <x:v>궁예의 태봉과 미륵 신앙</x:v>
      </x:c>
      <x:c r="J102" s="16" t="str">
        <x:v>C22-S01, C22-S03, C23-S06, C23-S08</x:v>
      </x:c>
      <x:c r="K102" s="16" t="str">
        <x:v>서아: “은서 씨 편지는 다시 접어 뒀어요. 그때 그분이 직접 말한 자리에 남아 있도록요.”</x:v>
      </x:c>
      <x:c r="L102" s="16" t="str">
        <x:v>—</x:v>
      </x:c>
      <x:c r="M102" s="16" t="str">
        <x:v>후고구려에서 마진·태봉으로 국호를 바꾼 궁예는 자신을 미륵불이라 칭하였다. 왕건·견훤의 활동과 구별한다.</x:v>
      </x:c>
      <x:c r="N102" s="16" t="str">
        <x:v>official-61-advanced-11</x:v>
      </x:c>
    </x:row>
    <x:row r="103" ht="53.25" customHeight="1">
      <x:c r="A103" s="28" t="n">
        <x:v>97</x:v>
      </x:c>
      <x:c r="B103" s="13" t="str">
        <x:v>THR-C23-S09</x:v>
      </x:c>
      <x:c r="C103" s="13" t="str">
        <x:v>송악으로 옮긴 도읍</x:v>
      </x:c>
      <x:c r="D103" s="28" t="n">
        <x:v>77</x:v>
      </x:c>
      <x:c r="E103" s="61" t="str">
        <x:v>심화</x:v>
      </x:c>
      <x:c r="F103" s="28" t="n">
        <x:v>9</x:v>
      </x:c>
      <x:c r="G103" s="28" t="n">
        <x:v>2</x:v>
      </x:c>
      <x:c r="H103" s="64" t="str">
        <x:v>복습후보</x:v>
      </x:c>
      <x:c r="I103" s="13" t="str">
        <x:v>왕건에게 나주 방어를 맡기고 송악에서 철원으로 옮긴 궁예의 광평성을 확인</x:v>
      </x:c>
      <x:c r="J103" s="13" t="str">
        <x:v>C23-S07</x:v>
      </x:c>
      <x:c r="K103" s="13" t="str">
        <x:v>서아: “좋아요. 글씨가 흐리면 제가 옆에서 읽어 드릴게요.”</x:v>
      </x:c>
      <x:c r="L103" s="13" t="str">
        <x:v>—</x:v>
      </x:c>
      <x:c r="M103" s="13" t="str">
        <x:v>왕건이 궁예의 부하로 활동한 상황과 송악에서 철원으로 옮긴 일을 결합하면 인물은 궁예다. 궁예가 마련한 광평성이 ②에 제시되어 있다.</x:v>
      </x:c>
      <x:c r="N103" s="13" t="str">
        <x:v>official-77-advanced-09</x:v>
      </x:c>
    </x:row>
    <x:row r="104" ht="53.25" customHeight="1">
      <x:c r="A104" s="27" t="n">
        <x:v>98</x:v>
      </x:c>
      <x:c r="B104" s="16" t="str">
        <x:v>THR-C23-S09</x:v>
      </x:c>
      <x:c r="C104" s="16" t="str">
        <x:v>송악으로 옮긴 도읍</x:v>
      </x:c>
      <x:c r="D104" s="27" t="n">
        <x:v>69</x:v>
      </x:c>
      <x:c r="E104" s="60" t="str">
        <x:v>기본</x:v>
      </x:c>
      <x:c r="F104" s="27" t="n">
        <x:v>10</x:v>
      </x:c>
      <x:c r="G104" s="27" t="n">
        <x:v>3</x:v>
      </x:c>
      <x:c r="H104" s="64" t="str">
        <x:v>복습후보</x:v>
      </x:c>
      <x:c r="I104" s="16" t="str">
        <x:v>송악에서 철원으로 수도를 옮긴 인물의 활동을 고른다</x:v>
      </x:c>
      <x:c r="J104" s="16" t="str">
        <x:v>C23-S09</x:v>
      </x:c>
      <x:c r="K104" s="16" t="str">
        <x:v>서아: “좋아요. 글씨가 흐리면 제가 옆에서 읽어 드릴게요.”</x:v>
      </x:c>
      <x:c r="L104" s="16" t="str">
        <x:v>—</x:v>
      </x:c>
      <x:c r="M104" s="16" t="str">
        <x:v>송악에서 철원으로 수도를 옮기고 광평성 등 관서를 정비한 인물은 궁예이다. 궁예는 국호를 후고구려에서 마진, 다시 태봉으로 바꾸었으므로 ③이 옳다.</x:v>
      </x:c>
      <x:c r="N104" s="16" t="str">
        <x:v>official-69-basic-10</x:v>
      </x:c>
    </x:row>
    <x:row r="105" ht="67.5" customHeight="1">
      <x:c r="A105" s="29" t="n">
        <x:v>99</x:v>
      </x:c>
      <x:c r="B105" s="14" t="str">
        <x:v>THR-C23-S10</x:v>
      </x:c>
      <x:c r="C105" s="14" t="str">
        <x:v>덮지 않는 마지막 장</x:v>
      </x:c>
      <x:c r="D105" s="29" t="n">
        <x:v>74</x:v>
      </x:c>
      <x:c r="E105" s="62" t="str">
        <x:v>심화</x:v>
      </x:c>
      <x:c r="F105" s="29" t="n">
        <x:v>10</x:v>
      </x:c>
      <x:c r="G105" s="29" t="n">
        <x:v>4</x:v>
      </x:c>
      <x:c r="H105" s="58" t="str">
        <x:v>첫출제</x:v>
      </x:c>
      <x:c r="I105" s="14" t="str">
        <x:v>신라 경순왕의 고려 항복 뒤에 일어난 사건을 고른다</x:v>
      </x:c>
      <x:c r="J105" s="14" t="str">
        <x:v>C23-S10</x:v>
      </x:c>
      <x:c r="K105" s="14" t="str">
        <x:v>기록책·다음 연표: “927년 견훤의 신라 공격과 경애왕 사망·공산 전투(견훤 승) → 930년 고창 전투(왕건 승) → 935년 신라 귀부 → 936년 일리천 전투(왕건 측 승)·후삼국 통일. 다음 기록은 이 전쟁이 끝날 때까지 살아간 사람들을 향한다.”</x:v>
      </x:c>
      <x:c r="L105" s="14" t="str">
        <x:v>—</x:v>
      </x:c>
      <x:c r="M105" s="14" t="str">
        <x:v>자료는 신라가 고려에 항복한 상황이다. 그 다음 해 왕건이 일리천에서 신검의 군대를 이겨 후삼국 통일로 이어졌으므로 ④가 옳다.</x:v>
      </x:c>
      <x:c r="N105" s="14" t="str">
        <x:v>official-74-advanced-10</x:v>
      </x:c>
    </x:row>
  </x:sheetData>
  <x:pageMargins left="0.7" right="0.7" top="0.75" bottom="0.75" header="0.3" footer="0.3"/>
  <x:tableParts count="1">
    <x:tablePart xmlns:r="http://schemas.openxmlformats.org/officeDocument/2006/relationships" r:id="R8bbc0ccccba346c5"/>
  </x:tableParts>
</x:worksheet>
</file>

<file path=xl/worksheets/sheet3.xml><?xml version="1.0" encoding="utf-8"?>
<x:worksheet xmlns:x="http://schemas.openxmlformats.org/spreadsheetml/2006/main">
  <x:sheetPr>
    <x:tabColor rgb="FF5B6C78"/>
  </x:sheetPr>
  <x:sheetViews>
    <x:sheetView showGridLines="0" workbookViewId="0">
      <x:pane xSplit="2" ySplit="6" topLeftCell="C7" activePane="bottomRight" state="frozen"/>
    </x:sheetView>
  </x:sheetViews>
  <x:sheetFormatPr defaultRowHeight="15"/>
  <x:cols>
    <x:col min="1" max="1" width="28.329999923706055" hidden="0" customWidth="1"/>
    <x:col min="2" max="2" width="6.559999942779541" hidden="0" customWidth="1"/>
    <x:col min="3" max="3" width="7.78000020980835" hidden="0" customWidth="1"/>
    <x:col min="4" max="4" width="6.670000076293945" hidden="0" customWidth="1"/>
    <x:col min="5" max="5" width="6.670000076293945" hidden="0" customWidth="1"/>
    <x:col min="6" max="6" width="9.329999923706055" hidden="0" customWidth="1"/>
    <x:col min="7" max="7" width="29.219999313354492" hidden="0" customWidth="1"/>
    <x:col min="8" max="8" width="9.329999923706055" hidden="0" customWidth="1"/>
    <x:col min="9" max="9" width="40.560001373291016" hidden="0" customWidth="1"/>
    <x:col min="10" max="10" width="41" hidden="0" customWidth="1"/>
    <x:col min="11" max="11" width="45.779998779296875" hidden="0" customWidth="1"/>
    <x:col min="12" max="12" width="45.779998779296875" hidden="0" customWidth="1"/>
    <x:col min="13" max="13" width="18.780000686645508" hidden="0" customWidth="1"/>
    <x:col min="14" max="14" width="7.559999942779541" hidden="0" customWidth="1"/>
    <x:col min="15" max="15" width="17.110000610351562" hidden="0" customWidth="1"/>
    <x:col min="16" max="16" width="33.560001373291016" hidden="0" customWidth="1"/>
    <x:col min="17" max="17" width="7.329999923706055" hidden="0" customWidth="1"/>
  </x:cols>
  <x:sheetData>
    <x:row r="1" ht="9" customHeight="1">
      <x:c r="A1" s="3"/>
      <x:c r="B1" s="3"/>
      <x:c r="C1" s="3"/>
      <x:c r="D1" s="3"/>
      <x:c r="E1" s="3"/>
      <x:c r="F1" s="3"/>
      <x:c r="G1" s="3"/>
      <x:c r="H1" s="3"/>
      <x:c r="I1" s="3"/>
      <x:c r="J1" s="3"/>
      <x:c r="K1" s="3"/>
      <x:c r="L1" s="3"/>
      <x:c r="M1" s="3"/>
      <x:c r="N1" s="3"/>
      <x:c r="O1" s="3"/>
      <x:c r="P1" s="3"/>
      <x:c r="Q1" s="3"/>
    </x:row>
    <x:row r="2" ht="25.5" customHeight="1">
      <x:c r="A2" s="17" t="str">
        <x:v>문항 원장</x:v>
      </x:c>
      <x:c r="B2" s="3"/>
      <x:c r="C2" s="3"/>
      <x:c r="D2" s="18" t="str">
        <x:v>기본 4지 · 심화 5지 · 답 번호는 1부터</x:v>
      </x:c>
      <x:c r="E2" s="3"/>
      <x:c r="F2" s="3"/>
      <x:c r="G2" s="3"/>
      <x:c r="H2" s="3"/>
      <x:c r="I2" s="3"/>
      <x:c r="J2" s="3"/>
      <x:c r="K2" s="3"/>
      <x:c r="L2" s="3"/>
      <x:c r="M2" s="3"/>
      <x:c r="N2" s="3"/>
      <x:c r="O2" s="3"/>
      <x:c r="P2" s="3"/>
      <x:c r="Q2" s="3"/>
    </x:row>
    <x:row r="3" ht="20.25" customHeight="1">
      <x:c r="A3" s="18" t="str">
        <x:v>검토 문항</x:v>
      </x:c>
      <x:c r="B3" s="21" t="n">
        <x:f>COUNTA(A7:A128)</x:f>
        <x:v>122</x:v>
      </x:c>
      <x:c r="C3" s="3"/>
      <x:c r="D3" s="3"/>
      <x:c r="E3" s="3"/>
      <x:c r="F3" s="18" t="str">
        <x:v>선정 문항</x:v>
      </x:c>
      <x:c r="G3" s="21" t="n">
        <x:f>COUNTIF(F7:F128,"선정")</x:f>
        <x:v>91</x:v>
      </x:c>
      <x:c r="H3" s="3"/>
      <x:c r="I3" s="18" t="str">
        <x:v>검토만</x:v>
      </x:c>
      <x:c r="J3" s="21" t="n">
        <x:f>COUNTIF(F7:F128,"검토만")</x:f>
        <x:v>31</x:v>
      </x:c>
      <x:c r="K3" s="3"/>
      <x:c r="L3" s="3"/>
      <x:c r="M3" s="3"/>
      <x:c r="N3" s="3"/>
      <x:c r="O3" s="3"/>
      <x:c r="P3" s="3"/>
      <x:c r="Q3" s="3"/>
    </x:row>
    <x:row r="4" ht="20.25" customHeight="1">
      <x:c r="A4" s="18" t="str">
        <x:v>원문과 공식 정답을 대조한 목록입니다. 검토만 표시는 현재 대본의 출제 후보에서 제외된 문항입니다.</x:v>
      </x:c>
      <x:c r="B4" s="3"/>
      <x:c r="C4" s="3"/>
      <x:c r="D4" s="3"/>
      <x:c r="E4" s="3"/>
      <x:c r="F4" s="3"/>
      <x:c r="G4" s="3"/>
      <x:c r="H4" s="3"/>
      <x:c r="I4" s="3"/>
      <x:c r="J4" s="3"/>
      <x:c r="K4" s="3"/>
      <x:c r="L4" s="3"/>
      <x:c r="M4" s="3"/>
      <x:c r="N4" s="3"/>
      <x:c r="O4" s="3"/>
      <x:c r="P4" s="3"/>
      <x:c r="Q4" s="3"/>
    </x:row>
    <x:row r="5" ht="9" customHeight="1">
      <x:c r="A5" s="3"/>
      <x:c r="B5" s="3"/>
      <x:c r="C5" s="3"/>
      <x:c r="D5" s="3"/>
      <x:c r="E5" s="3"/>
      <x:c r="F5" s="3"/>
      <x:c r="G5" s="3"/>
      <x:c r="H5" s="3"/>
      <x:c r="I5" s="3"/>
      <x:c r="J5" s="3"/>
      <x:c r="K5" s="3"/>
      <x:c r="L5" s="3"/>
      <x:c r="M5" s="3"/>
      <x:c r="N5" s="3"/>
      <x:c r="O5" s="3"/>
      <x:c r="P5" s="3"/>
      <x:c r="Q5" s="3"/>
    </x:row>
    <x:row r="6" ht="30" customHeight="1">
      <x:c r="A6" s="7" t="str">
        <x:v>문항 ID</x:v>
      </x:c>
      <x:c r="B6" s="7" t="str">
        <x:v>회차</x:v>
      </x:c>
      <x:c r="C6" s="7" t="str">
        <x:v>유형</x:v>
      </x:c>
      <x:c r="D6" s="7" t="str">
        <x:v>문항</x:v>
      </x:c>
      <x:c r="E6" s="7" t="str">
        <x:v>정답</x:v>
      </x:c>
      <x:c r="F6" s="7" t="str">
        <x:v>선정 상태</x:v>
      </x:c>
      <x:c r="G6" s="7" t="str">
        <x:v>문항 핵심</x:v>
      </x:c>
      <x:c r="H6" s="7" t="str">
        <x:v>발문 유형</x:v>
      </x:c>
      <x:c r="I6" s="7" t="str">
        <x:v>원문 자료의 단서</x:v>
      </x:c>
      <x:c r="J6" s="7" t="str">
        <x:v>원문 기준 해설</x:v>
      </x:c>
      <x:c r="K6" s="7" t="str">
        <x:v>원문 URL</x:v>
      </x:c>
      <x:c r="L6" s="7" t="str">
        <x:v>공식 정답 URL</x:v>
      </x:c>
      <x:c r="M6" s="7" t="str">
        <x:v>첫 대표 출제 씬</x:v>
      </x:c>
      <x:c r="N6" s="7" t="str">
        <x:v>연결 수</x:v>
      </x:c>
      <x:c r="O6" s="7" t="str">
        <x:v>원문 확인 방식</x:v>
      </x:c>
      <x:c r="P6" s="7" t="str">
        <x:v>원본 문제지 이름</x:v>
      </x:c>
      <x:c r="Q6" s="7" t="str">
        <x:v>PDF 쪽</x:v>
      </x:c>
    </x:row>
    <x:row r="7" ht="53.25" customHeight="1">
      <x:c r="A7" s="12" t="str">
        <x:v>official-58-basic-07</x:v>
      </x:c>
      <x:c r="B7" s="26" t="n">
        <x:v>58</x:v>
      </x:c>
      <x:c r="C7" s="59" t="str">
        <x:v>기본</x:v>
      </x:c>
      <x:c r="D7" s="26" t="n">
        <x:v>7</x:v>
      </x:c>
      <x:c r="E7" s="26" t="n">
        <x:v>1</x:v>
      </x:c>
      <x:c r="F7" s="63" t="str">
        <x:v>선정</x:v>
      </x:c>
      <x:c r="G7" s="12" t="str">
        <x:v>나당 전쟁과 기벌포 전투</x:v>
      </x:c>
      <x:c r="H7" s="12" t="str">
        <x:v>일반</x:v>
      </x:c>
      <x:c r="I7" s="12" t="str">
        <x:v>당의 웅진도독부·안동도호부와 고구려 부흥 운동 지원 뒤 신라가 당에 승리한 전투를 고른다.</x:v>
      </x:c>
      <x:c r="J7" s="12" t="str">
        <x:v>신라는 676년 기벌포에서 당의 수군을 물리쳤다. 우금치·진주성·처인성 전투는 다른 시대의 사건이다.</x:v>
      </x:c>
      <x:c r="K7" s="70" t="str">
        <x:v>https://github.com/tjdus7911-ops/history/blob/e27f008038d722934eee63070aac4e006c7d7bd9/dist/assets/exams/catalog/58-basic-07.webp</x:v>
      </x:c>
      <x:c r="L7" s="70" t="str">
        <x:v>https://www.historyexam.go.kr/answer/list.do?times=58&amp;testlevel=3</x:v>
      </x:c>
      <x:c r="M7" s="12" t="str">
        <x:v>C13-S12</x:v>
      </x:c>
      <x:c r="N7" s="26" t="n">
        <x:v>3</x:v>
      </x:c>
      <x:c r="O7" s="12" t="str">
        <x:v>저장소 원문 문항 이미지</x:v>
      </x:c>
      <x:c r="P7" s="12" t="str">
        <x:v>58회 한국사_문제지(기본).pdf</x:v>
      </x:c>
      <x:c r="Q7" s="26" t="n">
        <x:v>2</x:v>
      </x:c>
    </x:row>
    <x:row r="8" ht="53.25" customHeight="1">
      <x:c r="A8" s="16" t="str">
        <x:v>official-59-advanced-04</x:v>
      </x:c>
      <x:c r="B8" s="27" t="n">
        <x:v>59</x:v>
      </x:c>
      <x:c r="C8" s="60" t="str">
        <x:v>심화</x:v>
      </x:c>
      <x:c r="D8" s="27" t="n">
        <x:v>4</x:v>
      </x:c>
      <x:c r="E8" s="27" t="n">
        <x:v>1</x:v>
      </x:c>
      <x:c r="F8" s="49" t="str">
        <x:v>선정</x:v>
      </x:c>
      <x:c r="G8" s="16" t="str">
        <x:v>연개소문과 천리장성 축조 감독</x:v>
      </x:c>
      <x:c r="H8" s="16" t="str">
        <x:v>일반</x:v>
      </x:c>
      <x:c r="I8" s="16" t="str">
        <x:v>영류왕 시해, 대막리지 집권, 당의 침입 격퇴를 단서로 연개소문을 식별한다.</x:v>
      </x:c>
      <x:c r="J8" s="16" t="str">
        <x:v>천리장성 축조를 감독한 연개소문은 642년 정변을 일으켜 영류왕을 죽이고 권력을 장악하였다. 살수 대첩의 을지문덕과 구별한다.</x:v>
      </x:c>
      <x:c r="K8" s="71" t="str">
        <x:v>https://github.com/tjdus7911-ops/history/blob/e27f008038d722934eee63070aac4e006c7d7bd9/dist/assets/exams/catalog/59-advanced-04.webp</x:v>
      </x:c>
      <x:c r="L8" s="71" t="str">
        <x:v>https://www.historyexam.go.kr/answer/list.do?times=59&amp;testlevel=1</x:v>
      </x:c>
      <x:c r="M8" s="16" t="str">
        <x:v>C05-S08</x:v>
      </x:c>
      <x:c r="N8" s="27" t="n">
        <x:v>3</x:v>
      </x:c>
      <x:c r="O8" s="16" t="str">
        <x:v>저장소 원문 문항 이미지</x:v>
      </x:c>
      <x:c r="P8" s="16" t="str">
        <x:v>59회 한국사_문제지(심화).pdf</x:v>
      </x:c>
      <x:c r="Q8" s="27" t="n">
        <x:v>1</x:v>
      </x:c>
    </x:row>
    <x:row r="9" ht="53.25" customHeight="1">
      <x:c r="A9" s="13" t="str">
        <x:v>official-60-advanced-05</x:v>
      </x:c>
      <x:c r="B9" s="28" t="n">
        <x:v>60</x:v>
      </x:c>
      <x:c r="C9" s="61" t="str">
        <x:v>심화</x:v>
      </x:c>
      <x:c r="D9" s="28" t="n">
        <x:v>5</x:v>
      </x:c>
      <x:c r="E9" s="28" t="n">
        <x:v>1</x:v>
      </x:c>
      <x:c r="F9" s="49" t="str">
        <x:v>선정</x:v>
      </x:c>
      <x:c r="G9" s="13" t="str">
        <x:v>장수왕의 평양 천도</x:v>
      </x:c>
      <x:c r="H9" s="13" t="str">
        <x:v>일반</x:v>
      </x:c>
      <x:c r="I9" s="13" t="str">
        <x:v>신라 실직주성 공격, 북위 사신 파견, 백제 도성 함락을 단서로 장수왕을 식별한다.</x:v>
      </x:c>
      <x:c r="J9" s="13" t="str">
        <x:v>장수왕은 427년 평양으로 천도하고 475년 백제 한성을 함락하였다. 자료의 백제 도성 함락과 선택지의 천도를 같은 왕에게 연결한다.</x:v>
      </x:c>
      <x:c r="K9" s="72" t="str">
        <x:v>https://github.com/tjdus7911-ops/history/blob/e27f008038d722934eee63070aac4e006c7d7bd9/dist/assets/exams/catalog/60-advanced-05.webp</x:v>
      </x:c>
      <x:c r="L9" s="72" t="str">
        <x:v>https://www.historyexam.go.kr/answer/list.do?times=60&amp;testlevel=1</x:v>
      </x:c>
      <x:c r="M9" s="13" t="str">
        <x:v>C04-S07</x:v>
      </x:c>
      <x:c r="N9" s="28" t="n">
        <x:v>5</x:v>
      </x:c>
      <x:c r="O9" s="13" t="str">
        <x:v>저장소 원문 문항 이미지</x:v>
      </x:c>
      <x:c r="P9" s="13" t="str">
        <x:v>60회 한국사_문제지(심화).pdf</x:v>
      </x:c>
      <x:c r="Q9" s="28" t="n">
        <x:v>2</x:v>
      </x:c>
    </x:row>
    <x:row r="10" ht="53.25" customHeight="1">
      <x:c r="A10" s="16" t="str">
        <x:v>official-61-basic-08</x:v>
      </x:c>
      <x:c r="B10" s="27" t="n">
        <x:v>61</x:v>
      </x:c>
      <x:c r="C10" s="60" t="str">
        <x:v>기본</x:v>
      </x:c>
      <x:c r="D10" s="27" t="n">
        <x:v>8</x:v>
      </x:c>
      <x:c r="E10" s="27" t="n">
        <x:v>1</x:v>
      </x:c>
      <x:c r="F10" s="49" t="str">
        <x:v>선정</x:v>
      </x:c>
      <x:c r="G10" s="16" t="str">
        <x:v>불국사와 삼층석탑</x:v>
      </x:c>
      <x:c r="H10" s="16" t="str">
        <x:v>일반</x:v>
      </x:c>
      <x:c r="I10" s="16" t="str">
        <x:v>토함산, 8세기 김대성, 청운교·백운교를 단서로 불국사 안의 문화유산을 고른다.</x:v>
      </x:c>
      <x:c r="J10" s="16" t="str">
        <x:v>청운교·백운교가 있는 불국사의 삼층석탑, 즉 석가탑을 고른다. 성덕대왕신종은 현재 국립경주박물관에 보존되어 있다.</x:v>
      </x:c>
      <x:c r="K10" s="71" t="str">
        <x:v>https://github.com/tjdus7911-ops/history/blob/e27f008038d722934eee63070aac4e006c7d7bd9/dist/assets/exams/catalog/61-basic-08.webp</x:v>
      </x:c>
      <x:c r="L10" s="71" t="str">
        <x:v>https://www.historyexam.go.kr/answer/list.do?times=61&amp;testlevel=3</x:v>
      </x:c>
      <x:c r="M10" s="16" t="str">
        <x:v>C17-S05</x:v>
      </x:c>
      <x:c r="N10" s="27" t="n">
        <x:v>4</x:v>
      </x:c>
      <x:c r="O10" s="16" t="str">
        <x:v>저장소 원문 문항 이미지</x:v>
      </x:c>
      <x:c r="P10" s="16" t="str">
        <x:v>61회 한국사_문제지(기본).pdf</x:v>
      </x:c>
      <x:c r="Q10" s="27" t="n">
        <x:v>2</x:v>
      </x:c>
    </x:row>
    <x:row r="11" ht="53.25" customHeight="1">
      <x:c r="A11" s="13" t="str">
        <x:v>official-61-advanced-03</x:v>
      </x:c>
      <x:c r="B11" s="28" t="n">
        <x:v>61</x:v>
      </x:c>
      <x:c r="C11" s="61" t="str">
        <x:v>심화</x:v>
      </x:c>
      <x:c r="D11" s="28" t="n">
        <x:v>3</x:v>
      </x:c>
      <x:c r="E11" s="28" t="n">
        <x:v>5</x:v>
      </x:c>
      <x:c r="F11" s="39" t="str">
        <x:v>검토만</x:v>
      </x:c>
      <x:c r="G11" s="13" t="str">
        <x:v>백제의 16관등·5방과 지배층</x:v>
      </x:c>
      <x:c r="H11" s="13" t="str">
        <x:v>일반</x:v>
      </x:c>
      <x:c r="I11" s="13" t="str">
        <x:v>좌평과 달솔 등 16관등, 5방의 지방 통치 자료에서 백제를 식별한다.</x:v>
      </x:c>
      <x:c r="J11" s="13" t="str">
        <x:v>16관등과 5방은 백제의 제도다. 백제 왕족은 부여씨였고, 8성 귀족이 지배층을 이루었다.</x:v>
      </x:c>
      <x:c r="K11" s="72" t="str">
        <x:v>https://github.com/tjdus7911-ops/history/blob/e27f008038d722934eee63070aac4e006c7d7bd9/dist/assets/exams/catalog/61-advanced-03.webp</x:v>
      </x:c>
      <x:c r="L11" s="72" t="str">
        <x:v>https://www.historyexam.go.kr/answer/list.do?times=61&amp;testlevel=1</x:v>
      </x:c>
      <x:c r="M11" s="13" t="str">
        <x:v>—</x:v>
      </x:c>
      <x:c r="N11" s="28" t="n">
        <x:v>0</x:v>
      </x:c>
      <x:c r="O11" s="13" t="str">
        <x:v>저장소 원문 문항 이미지</x:v>
      </x:c>
      <x:c r="P11" s="13" t="str">
        <x:v>61회 한국사_문제지(심화).pdf</x:v>
      </x:c>
      <x:c r="Q11" s="28" t="n">
        <x:v>1</x:v>
      </x:c>
    </x:row>
    <x:row r="12" ht="53.25" customHeight="1">
      <x:c r="A12" s="16" t="str">
        <x:v>official-61-advanced-04</x:v>
      </x:c>
      <x:c r="B12" s="27" t="n">
        <x:v>61</x:v>
      </x:c>
      <x:c r="C12" s="60" t="str">
        <x:v>심화</x:v>
      </x:c>
      <x:c r="D12" s="27" t="n">
        <x:v>4</x:v>
      </x:c>
      <x:c r="E12" s="27" t="n">
        <x:v>1</x:v>
      </x:c>
      <x:c r="F12" s="49" t="str">
        <x:v>선정</x:v>
      </x:c>
      <x:c r="G12" s="16" t="str">
        <x:v>광개토대왕의 영락 연호와 다른 고구려 왕의 업적</x:v>
      </x:c>
      <x:c r="H12" s="16" t="str">
        <x:v>일반</x:v>
      </x:c>
      <x:c r="I12" s="16" t="str">
        <x:v>관미성 함락, 400년 신라 구원, 후연 공격을 한 왕의 업적을 고른다.</x:v>
      </x:c>
      <x:c r="J12" s="16" t="str">
        <x:v>관미성 공격과 신라 구원은 광개토대왕의 활동이다. 태학은 소수림왕, 낙랑군 축출은 미천왕, 을파소·진대법은 고국천왕의 업적으로 구별한다.</x:v>
      </x:c>
      <x:c r="K12" s="71" t="str">
        <x:v>https://github.com/tjdus7911-ops/history/blob/e27f008038d722934eee63070aac4e006c7d7bd9/dist/assets/exams/catalog/61-advanced-04.webp</x:v>
      </x:c>
      <x:c r="L12" s="71" t="str">
        <x:v>https://www.historyexam.go.kr/answer/list.do?times=61&amp;testlevel=1</x:v>
      </x:c>
      <x:c r="M12" s="16" t="str">
        <x:v>C03-S07</x:v>
      </x:c>
      <x:c r="N12" s="27" t="n">
        <x:v>10</x:v>
      </x:c>
      <x:c r="O12" s="16" t="str">
        <x:v>저장소 원문 문항 이미지</x:v>
      </x:c>
      <x:c r="P12" s="16" t="str">
        <x:v>61회 한국사_문제지(심화).pdf</x:v>
      </x:c>
      <x:c r="Q12" s="27" t="n">
        <x:v>1</x:v>
      </x:c>
    </x:row>
    <x:row r="13" ht="53.25" customHeight="1">
      <x:c r="A13" s="13" t="str">
        <x:v>official-61-advanced-05</x:v>
      </x:c>
      <x:c r="B13" s="28" t="n">
        <x:v>61</x:v>
      </x:c>
      <x:c r="C13" s="61" t="str">
        <x:v>심화</x:v>
      </x:c>
      <x:c r="D13" s="28" t="n">
        <x:v>5</x:v>
      </x:c>
      <x:c r="E13" s="28" t="n">
        <x:v>1</x:v>
      </x:c>
      <x:c r="F13" s="49" t="str">
        <x:v>선정</x:v>
      </x:c>
      <x:c r="G13" s="13" t="str">
        <x:v>원효의 일심·화쟁과 불교 대중화</x:v>
      </x:c>
      <x:c r="H13" s="13" t="str">
        <x:v>일반</x:v>
      </x:c>
      <x:c r="I13" s="13" t="str">
        <x:v>금강삼매경론·대승기신론소, 무애가와 정토 신앙을 단서로 원효를 식별한다.</x:v>
      </x:c>
      <x:c r="J13" s="13" t="str">
        <x:v>교설의 대립을 조화하려 한 화쟁 사상과 일심 사상은 원효의 활동이다. 왕오천축국전은 혜초, 황룡사 목탑 건의는 자장, 걸사표는 원광과 연결한다.</x:v>
      </x:c>
      <x:c r="K13" s="72" t="str">
        <x:v>https://github.com/tjdus7911-ops/history/blob/e27f008038d722934eee63070aac4e006c7d7bd9/dist/assets/exams/catalog/61-advanced-05.webp</x:v>
      </x:c>
      <x:c r="L13" s="72" t="str">
        <x:v>https://www.historyexam.go.kr/answer/list.do?times=61&amp;testlevel=1</x:v>
      </x:c>
      <x:c r="M13" s="13" t="str">
        <x:v>C17-S02</x:v>
      </x:c>
      <x:c r="N13" s="28" t="n">
        <x:v>4</x:v>
      </x:c>
      <x:c r="O13" s="13" t="str">
        <x:v>저장소 원문 문항 이미지</x:v>
      </x:c>
      <x:c r="P13" s="13" t="str">
        <x:v>61회 한국사_문제지(심화).pdf</x:v>
      </x:c>
      <x:c r="Q13" s="28" t="n">
        <x:v>2</x:v>
      </x:c>
    </x:row>
    <x:row r="14" ht="53.25" customHeight="1">
      <x:c r="A14" s="16" t="str">
        <x:v>official-61-advanced-06</x:v>
      </x:c>
      <x:c r="B14" s="27" t="n">
        <x:v>61</x:v>
      </x:c>
      <x:c r="C14" s="60" t="str">
        <x:v>심화</x:v>
      </x:c>
      <x:c r="D14" s="27" t="n">
        <x:v>6</x:v>
      </x:c>
      <x:c r="E14" s="27" t="n">
        <x:v>5</x:v>
      </x:c>
      <x:c r="F14" s="49" t="str">
        <x:v>선정</x:v>
      </x:c>
      <x:c r="G14" s="16" t="str">
        <x:v>장수왕 남진과 개로왕의 북위 구원 요청</x:v>
      </x:c>
      <x:c r="H14" s="16" t="str">
        <x:v>일반</x:v>
      </x:c>
      <x:c r="I14" s="16" t="str">
        <x:v>472년 백제 개로왕이 북위에 도움을 청한 배경을 묻는다.</x:v>
      </x:c>
      <x:c r="J14" s="16" t="str">
        <x:v>장수왕의 평양 천도와 남진 정책으로 위협받은 백제 개로왕이 북위에 구원을 요청하였다. 요청은 472년, 한성 함락은 475년이다.</x:v>
      </x:c>
      <x:c r="K14" s="71" t="str">
        <x:v>https://github.com/tjdus7911-ops/history/blob/e27f008038d722934eee63070aac4e006c7d7bd9/dist/assets/exams/catalog/61-advanced-06.webp</x:v>
      </x:c>
      <x:c r="L14" s="71" t="str">
        <x:v>https://www.historyexam.go.kr/answer/list.do?times=61&amp;testlevel=1</x:v>
      </x:c>
      <x:c r="M14" s="16" t="str">
        <x:v>C04-S05</x:v>
      </x:c>
      <x:c r="N14" s="27" t="n">
        <x:v>3</x:v>
      </x:c>
      <x:c r="O14" s="16" t="str">
        <x:v>저장소 원문 문항 이미지</x:v>
      </x:c>
      <x:c r="P14" s="16" t="str">
        <x:v>61회 한국사_문제지(심화).pdf</x:v>
      </x:c>
      <x:c r="Q14" s="27" t="n">
        <x:v>2</x:v>
      </x:c>
    </x:row>
    <x:row r="15" ht="53.25" customHeight="1">
      <x:c r="A15" s="13" t="str">
        <x:v>official-61-advanced-07</x:v>
      </x:c>
      <x:c r="B15" s="28" t="n">
        <x:v>61</x:v>
      </x:c>
      <x:c r="C15" s="61" t="str">
        <x:v>심화</x:v>
      </x:c>
      <x:c r="D15" s="28" t="n">
        <x:v>7</x:v>
      </x:c>
      <x:c r="E15" s="28" t="n">
        <x:v>2</x:v>
      </x:c>
      <x:c r="F15" s="49" t="str">
        <x:v>선정</x:v>
      </x:c>
      <x:c r="G15" s="13" t="str">
        <x:v>연정토 귀부와 매소성 사이의 안승 책봉</x:v>
      </x:c>
      <x:c r="H15" s="13" t="str">
        <x:v>일반</x:v>
      </x:c>
      <x:c r="I15" s="13" t="str">
        <x:v>666년 연정토 귀부와 675년 매소성 전투 사이의 사실을 고른다.</x:v>
      </x:c>
      <x:c r="J15" s="13" t="str">
        <x:v>문무왕이 안승을 보덕왕으로 책봉한 때는 674년으로, 제시된 666~675년 사이에 들어간다. 백강 전투는 663년이다.</x:v>
      </x:c>
      <x:c r="K15" s="72" t="str">
        <x:v>https://github.com/tjdus7911-ops/history/blob/e27f008038d722934eee63070aac4e006c7d7bd9/dist/assets/exams/catalog/61-advanced-07.webp</x:v>
      </x:c>
      <x:c r="L15" s="72" t="str">
        <x:v>https://www.historyexam.go.kr/answer/list.do?times=61&amp;testlevel=1</x:v>
      </x:c>
      <x:c r="M15" s="13" t="str">
        <x:v>C13-S10</x:v>
      </x:c>
      <x:c r="N15" s="28" t="n">
        <x:v>3</x:v>
      </x:c>
      <x:c r="O15" s="13" t="str">
        <x:v>저장소 원문 문항 이미지</x:v>
      </x:c>
      <x:c r="P15" s="13" t="str">
        <x:v>61회 한국사_문제지(심화).pdf</x:v>
      </x:c>
      <x:c r="Q15" s="28" t="n">
        <x:v>2</x:v>
      </x:c>
    </x:row>
    <x:row r="16" ht="53.25" customHeight="1">
      <x:c r="A16" s="16" t="str">
        <x:v>official-61-advanced-08</x:v>
      </x:c>
      <x:c r="B16" s="27" t="n">
        <x:v>61</x:v>
      </x:c>
      <x:c r="C16" s="60" t="str">
        <x:v>심화</x:v>
      </x:c>
      <x:c r="D16" s="27" t="n">
        <x:v>8</x:v>
      </x:c>
      <x:c r="E16" s="27" t="n">
        <x:v>4</x:v>
      </x:c>
      <x:c r="F16" s="49" t="str">
        <x:v>선정</x:v>
      </x:c>
      <x:c r="G16" s="16" t="str">
        <x:v>김헌창의 난 이후 원종·애노의 봉기</x:v>
      </x:c>
      <x:c r="H16" s="16" t="str">
        <x:v>일반</x:v>
      </x:c>
      <x:c r="I16" s="16" t="str">
        <x:v>822년 김헌창의 난이 일어난 뒤의 사건을 고른다.</x:v>
      </x:c>
      <x:c r="J16" s="16" t="str">
        <x:v>김헌창의 난은 822년, 원종과 애노의 봉기는 889년이다. 다른 선택지는 6~7세기 신라의 사건이다.</x:v>
      </x:c>
      <x:c r="K16" s="71" t="str">
        <x:v>https://github.com/tjdus7911-ops/history/blob/e27f008038d722934eee63070aac4e006c7d7bd9/dist/assets/exams/catalog/61-advanced-08.webp</x:v>
      </x:c>
      <x:c r="L16" s="71" t="str">
        <x:v>https://www.historyexam.go.kr/answer/list.do?times=61&amp;testlevel=1</x:v>
      </x:c>
      <x:c r="M16" s="16" t="str">
        <x:v>C19-S07</x:v>
      </x:c>
      <x:c r="N16" s="27" t="n">
        <x:v>2</x:v>
      </x:c>
      <x:c r="O16" s="16" t="str">
        <x:v>저장소 원문 문항 이미지</x:v>
      </x:c>
      <x:c r="P16" s="16" t="str">
        <x:v>61회 한국사_문제지(심화).pdf</x:v>
      </x:c>
      <x:c r="Q16" s="27" t="n">
        <x:v>2</x:v>
      </x:c>
    </x:row>
    <x:row r="17" ht="53.25" customHeight="1">
      <x:c r="A17" s="13" t="str">
        <x:v>official-61-advanced-10</x:v>
      </x:c>
      <x:c r="B17" s="28" t="n">
        <x:v>61</x:v>
      </x:c>
      <x:c r="C17" s="61" t="str">
        <x:v>심화</x:v>
      </x:c>
      <x:c r="D17" s="28" t="n">
        <x:v>10</x:v>
      </x:c>
      <x:c r="E17" s="28" t="n">
        <x:v>1</x:v>
      </x:c>
      <x:c r="F17" s="49" t="str">
        <x:v>선정</x:v>
      </x:c>
      <x:c r="G17" s="13" t="str">
        <x:v>발해 무왕과 장문휴의 등주 공격</x:v>
      </x:c>
      <x:c r="H17" s="13" t="str">
        <x:v>일반</x:v>
      </x:c>
      <x:c r="I17" s="13" t="str">
        <x:v>흑수 말갈 공격을 둘러싸고 대문예와 다투는 왕을 찾는다.</x:v>
      </x:c>
      <x:c r="J17" s="13" t="str">
        <x:v>대문예와 대립한 발해 왕은 무왕이다. 무왕은 장문휴를 보내 732년 당의 등주를 공격하였다.</x:v>
      </x:c>
      <x:c r="K17" s="72" t="str">
        <x:v>https://github.com/tjdus7911-ops/history/blob/e27f008038d722934eee63070aac4e006c7d7bd9/dist/assets/exams/catalog/61-advanced-10.webp</x:v>
      </x:c>
      <x:c r="L17" s="72" t="str">
        <x:v>https://www.historyexam.go.kr/answer/list.do?times=61&amp;testlevel=1</x:v>
      </x:c>
      <x:c r="M17" s="13" t="str">
        <x:v>C21-S02</x:v>
      </x:c>
      <x:c r="N17" s="28" t="n">
        <x:v>4</x:v>
      </x:c>
      <x:c r="O17" s="13" t="str">
        <x:v>저장소 원문 문항 이미지</x:v>
      </x:c>
      <x:c r="P17" s="13" t="str">
        <x:v>61회 한국사_문제지(심화).pdf</x:v>
      </x:c>
      <x:c r="Q17" s="28" t="n">
        <x:v>3</x:v>
      </x:c>
    </x:row>
    <x:row r="18" ht="53.25" customHeight="1">
      <x:c r="A18" s="16" t="str">
        <x:v>official-61-advanced-11</x:v>
      </x:c>
      <x:c r="B18" s="27" t="n">
        <x:v>61</x:v>
      </x:c>
      <x:c r="C18" s="60" t="str">
        <x:v>심화</x:v>
      </x:c>
      <x:c r="D18" s="27" t="n">
        <x:v>11</x:v>
      </x:c>
      <x:c r="E18" s="27" t="n">
        <x:v>2</x:v>
      </x:c>
      <x:c r="F18" s="49" t="str">
        <x:v>선정</x:v>
      </x:c>
      <x:c r="G18" s="16" t="str">
        <x:v>궁예의 태봉과 미륵 신앙</x:v>
      </x:c>
      <x:c r="H18" s="16" t="str">
        <x:v>일반</x:v>
      </x:c>
      <x:c r="I18" s="16" t="str">
        <x:v>철원을 도읍으로 삼은 태봉의 건국자 궁예의 활동을 고른다.</x:v>
      </x:c>
      <x:c r="J18" s="16" t="str">
        <x:v>후고구려에서 마진·태봉으로 국호를 바꾼 궁예는 자신을 미륵불이라 칭하였다. 왕건·견훤의 활동과 구별한다.</x:v>
      </x:c>
      <x:c r="K18" s="71" t="str">
        <x:v>https://github.com/tjdus7911-ops/history/blob/e27f008038d722934eee63070aac4e006c7d7bd9/dist/assets/exams/catalog/61-advanced-11.webp</x:v>
      </x:c>
      <x:c r="L18" s="71" t="str">
        <x:v>https://www.historyexam.go.kr/answer/list.do?times=61&amp;testlevel=1</x:v>
      </x:c>
      <x:c r="M18" s="16" t="str">
        <x:v>C23-S08</x:v>
      </x:c>
      <x:c r="N18" s="27" t="n">
        <x:v>4</x:v>
      </x:c>
      <x:c r="O18" s="16" t="str">
        <x:v>저장소 원문 문항 이미지</x:v>
      </x:c>
      <x:c r="P18" s="16" t="str">
        <x:v>61회 한국사_문제지(심화).pdf</x:v>
      </x:c>
      <x:c r="Q18" s="27" t="n">
        <x:v>3</x:v>
      </x:c>
    </x:row>
    <x:row r="19" ht="53.25" customHeight="1">
      <x:c r="A19" s="13" t="str">
        <x:v>official-62-advanced-04</x:v>
      </x:c>
      <x:c r="B19" s="28" t="n">
        <x:v>62</x:v>
      </x:c>
      <x:c r="C19" s="61" t="str">
        <x:v>심화</x:v>
      </x:c>
      <x:c r="D19" s="28" t="n">
        <x:v>4</x:v>
      </x:c>
      <x:c r="E19" s="28" t="n">
        <x:v>5</x:v>
      </x:c>
      <x:c r="F19" s="49" t="str">
        <x:v>선정</x:v>
      </x:c>
      <x:c r="G19" s="13" t="str">
        <x:v>소수림왕의 율령 반포</x:v>
      </x:c>
      <x:c r="H19" s="13" t="str">
        <x:v>일반</x:v>
      </x:c>
      <x:c r="I19" s="13" t="str">
        <x:v>고국원왕 전사 뒤 즉위한 왕의 불교 수용·태학 설립과 함께 이루어진 정책을 고른다.</x:v>
      </x:c>
      <x:c r="J19" s="13" t="str">
        <x:v>소수림왕은 372년 불교를 수용하고 태학을 세웠으며, 373년 율령을 반포하였다. 전쟁 뒤 고구려 통치 체제를 정비한 정책 묶음이다.</x:v>
      </x:c>
      <x:c r="K19" s="72" t="str">
        <x:v>https://github.com/tjdus7911-ops/history/blob/e27f008038d722934eee63070aac4e006c7d7bd9/dist/assets/exams/catalog/62-advanced-04.webp</x:v>
      </x:c>
      <x:c r="L19" s="72" t="str">
        <x:v>https://www.historyexam.go.kr/answer/list.do?times=62&amp;testlevel=1</x:v>
      </x:c>
      <x:c r="M19" s="13" t="str">
        <x:v>C03-S03</x:v>
      </x:c>
      <x:c r="N19" s="28" t="n">
        <x:v>1</x:v>
      </x:c>
      <x:c r="O19" s="13" t="str">
        <x:v>저장소 원문 문항 이미지</x:v>
      </x:c>
      <x:c r="P19" s="13" t="str">
        <x:v>62회 한국사능력검정시험 문제지(심화).pdf</x:v>
      </x:c>
      <x:c r="Q19" s="28" t="n">
        <x:v>1</x:v>
      </x:c>
    </x:row>
    <x:row r="20" ht="53.25" customHeight="1">
      <x:c r="A20" s="16" t="str">
        <x:v>official-63-basic-05</x:v>
      </x:c>
      <x:c r="B20" s="27" t="n">
        <x:v>63</x:v>
      </x:c>
      <x:c r="C20" s="60" t="str">
        <x:v>기본</x:v>
      </x:c>
      <x:c r="D20" s="27" t="n">
        <x:v>5</x:v>
      </x:c>
      <x:c r="E20" s="27" t="n">
        <x:v>1</x:v>
      </x:c>
      <x:c r="F20" s="49" t="str">
        <x:v>선정</x:v>
      </x:c>
      <x:c r="G20" s="16" t="str">
        <x:v>백제 대외 교류와 칠지도</x:v>
      </x:c>
      <x:c r="H20" s="16" t="str">
        <x:v>일반</x:v>
      </x:c>
      <x:c r="I20" s="16" t="str">
        <x:v>백제 금동대향로와 무령왕릉 사진 사이에 들어갈 백제 교류 유물을 고른다.</x:v>
      </x:c>
      <x:c r="J20" s="16" t="str">
        <x:v>백제가 왜와 교류했음을 보여 주는 칠지도가 정답 사진이다. 나머지 사진인 고려 청자, 신라 천마도, 호우명 그릇과 구별한다.</x:v>
      </x:c>
      <x:c r="K20" s="71" t="str">
        <x:v>https://github.com/tjdus7911-ops/history/blob/e27f008038d722934eee63070aac4e006c7d7bd9/dist/assets/exams/catalog/63-basic-05.webp</x:v>
      </x:c>
      <x:c r="L20" s="71" t="str">
        <x:v>https://www.historyexam.go.kr/answer/list.do?times=63&amp;testlevel=3</x:v>
      </x:c>
      <x:c r="M20" s="16" t="str">
        <x:v>C06-S06</x:v>
      </x:c>
      <x:c r="N20" s="27" t="n">
        <x:v>2</x:v>
      </x:c>
      <x:c r="O20" s="16" t="str">
        <x:v>저장소 원문 문항 이미지</x:v>
      </x:c>
      <x:c r="P20" s="16" t="str">
        <x:v>63회 한국사_문제지(기본).pdf</x:v>
      </x:c>
      <x:c r="Q20" s="27" t="n">
        <x:v>2</x:v>
      </x:c>
    </x:row>
    <x:row r="21" ht="53.25" customHeight="1">
      <x:c r="A21" s="13" t="str">
        <x:v>official-63-advanced-08</x:v>
      </x:c>
      <x:c r="B21" s="28" t="n">
        <x:v>63</x:v>
      </x:c>
      <x:c r="C21" s="61" t="str">
        <x:v>심화</x:v>
      </x:c>
      <x:c r="D21" s="28" t="n">
        <x:v>8</x:v>
      </x:c>
      <x:c r="E21" s="28" t="n">
        <x:v>4</x:v>
      </x:c>
      <x:c r="F21" s="49" t="str">
        <x:v>선정</x:v>
      </x:c>
      <x:c r="G21" s="13" t="str">
        <x:v>발해 문왕의 대흥과 상경 천도</x:v>
      </x:c>
      <x:c r="H21" s="13" t="str">
        <x:v>일반</x:v>
      </x:c>
      <x:c r="I21" s="13" t="str">
        <x:v>대흥 연호와 정효공주 묘지의 황상 칭호를 단서로 문왕을 식별한다.</x:v>
      </x:c>
      <x:c r="J21" s="13" t="str">
        <x:v>대흥 연호와 정효공주의 아버지라는 단서는 문왕을 가리킨다. 문왕은 상경 용천부로 수도를 옮겨 통치 체제를 정비하였다.</x:v>
      </x:c>
      <x:c r="K21" s="72" t="str">
        <x:v>https://github.com/tjdus7911-ops/history/blob/e27f008038d722934eee63070aac4e006c7d7bd9/dist/assets/exams/catalog/63-advanced-08.webp</x:v>
      </x:c>
      <x:c r="L21" s="72" t="str">
        <x:v>https://www.historyexam.go.kr/answer/list.do?times=63&amp;testlevel=1</x:v>
      </x:c>
      <x:c r="M21" s="13" t="str">
        <x:v>C21-S05</x:v>
      </x:c>
      <x:c r="N21" s="28" t="n">
        <x:v>4</x:v>
      </x:c>
      <x:c r="O21" s="13" t="str">
        <x:v>저장소 원문 문항 이미지</x:v>
      </x:c>
      <x:c r="P21" s="13" t="str">
        <x:v>63회 한국사_문제지(심화).pdf</x:v>
      </x:c>
      <x:c r="Q21" s="28" t="n">
        <x:v>2</x:v>
      </x:c>
    </x:row>
    <x:row r="22" ht="53.25" customHeight="1">
      <x:c r="A22" s="16" t="str">
        <x:v>official-64-basic-03</x:v>
      </x:c>
      <x:c r="B22" s="27" t="n">
        <x:v>64</x:v>
      </x:c>
      <x:c r="C22" s="60" t="str">
        <x:v>기본</x:v>
      </x:c>
      <x:c r="D22" s="27" t="n">
        <x:v>3</x:v>
      </x:c>
      <x:c r="E22" s="27" t="n">
        <x:v>3</x:v>
      </x:c>
      <x:c r="F22" s="49" t="str">
        <x:v>선정</x:v>
      </x:c>
      <x:c r="G22" s="16" t="str">
        <x:v>근초고왕의 고국원왕 전사</x:v>
      </x:c>
      <x:c r="H22" s="16" t="str">
        <x:v>일반</x:v>
      </x:c>
      <x:c r="I22" s="16" t="str">
        <x:v>4세기 근초고왕의 마한 정복과 동진·왜 교류 사이에 들어갈 업적을 고른다.</x:v>
      </x:c>
      <x:c r="J22" s="16" t="str">
        <x:v>근초고왕의 군대는 371년 고구려 평양성을 공격했고 고국원왕이 전사하였다. 사비 천도는 성왕, 22담로는 무령왕과 구별한다.</x:v>
      </x:c>
      <x:c r="K22" s="71" t="str">
        <x:v>https://github.com/tjdus7911-ops/history/blob/e27f008038d722934eee63070aac4e006c7d7bd9/dist/assets/exams/catalog/64-basic-03.webp</x:v>
      </x:c>
      <x:c r="L22" s="71" t="str">
        <x:v>https://www.historyexam.go.kr/answer/list.do?times=64&amp;testlevel=3</x:v>
      </x:c>
      <x:c r="M22" s="16" t="str">
        <x:v>C02-S07</x:v>
      </x:c>
      <x:c r="N22" s="27" t="n">
        <x:v>5</x:v>
      </x:c>
      <x:c r="O22" s="16" t="str">
        <x:v>저장소 원문 문항 이미지</x:v>
      </x:c>
      <x:c r="P22" s="16" t="str">
        <x:v>64회 한국사_문제지(기본).pdf</x:v>
      </x:c>
      <x:c r="Q22" s="27" t="n">
        <x:v>1</x:v>
      </x:c>
    </x:row>
    <x:row r="23" ht="53.25" customHeight="1">
      <x:c r="A23" s="13" t="str">
        <x:v>official-64-basic-06</x:v>
      </x:c>
      <x:c r="B23" s="28" t="n">
        <x:v>64</x:v>
      </x:c>
      <x:c r="C23" s="61" t="str">
        <x:v>기본</x:v>
      </x:c>
      <x:c r="D23" s="28" t="n">
        <x:v>6</x:v>
      </x:c>
      <x:c r="E23" s="28" t="n">
        <x:v>1</x:v>
      </x:c>
      <x:c r="F23" s="49" t="str">
        <x:v>선정</x:v>
      </x:c>
      <x:c r="G23" s="13" t="str">
        <x:v>선덕여왕대 분황사 모전석탑</x:v>
      </x:c>
      <x:c r="H23" s="13" t="str">
        <x:v>일반</x:v>
      </x:c>
      <x:c r="I23" s="13" t="str">
        <x:v>경주, 선덕여왕, 벽돌 모양 돌, 기단 사자상 단서에 맞는 탑 사진을 고른다.</x:v>
      </x:c>
      <x:c r="J23" s="13" t="str">
        <x:v>분황사 모전석탑은 벽돌처럼 다듬은 돌을 쌓은 탑이다. 백제 정림사지 오층석탑이나 신라 하대 화엄사 사사자 삼층석탑과 형태를 구별한다.</x:v>
      </x:c>
      <x:c r="K23" s="72" t="str">
        <x:v>https://github.com/tjdus7911-ops/history/blob/e27f008038d722934eee63070aac4e006c7d7bd9/dist/assets/exams/catalog/64-basic-06.webp</x:v>
      </x:c>
      <x:c r="L23" s="72" t="str">
        <x:v>https://www.historyexam.go.kr/answer/list.do?times=64&amp;testlevel=3</x:v>
      </x:c>
      <x:c r="M23" s="13" t="str">
        <x:v>C13-S03</x:v>
      </x:c>
      <x:c r="N23" s="28" t="n">
        <x:v>2</x:v>
      </x:c>
      <x:c r="O23" s="13" t="str">
        <x:v>저장소 원문 문항 이미지</x:v>
      </x:c>
      <x:c r="P23" s="13" t="str">
        <x:v>64회 한국사_문제지(기본).pdf</x:v>
      </x:c>
      <x:c r="Q23" s="28" t="n">
        <x:v>2</x:v>
      </x:c>
    </x:row>
    <x:row r="24" ht="53.25" customHeight="1">
      <x:c r="A24" s="16" t="str">
        <x:v>official-64-advanced-03</x:v>
      </x:c>
      <x:c r="B24" s="27" t="n">
        <x:v>64</x:v>
      </x:c>
      <x:c r="C24" s="60" t="str">
        <x:v>심화</x:v>
      </x:c>
      <x:c r="D24" s="27" t="n">
        <x:v>3</x:v>
      </x:c>
      <x:c r="E24" s="27" t="n">
        <x:v>3</x:v>
      </x:c>
      <x:c r="F24" s="49" t="str">
        <x:v>선정</x:v>
      </x:c>
      <x:c r="G24" s="16" t="str">
        <x:v>고구려의 진대법</x:v>
      </x:c>
      <x:c r="H24" s="16" t="str">
        <x:v>일반</x:v>
      </x:c>
      <x:c r="I24" s="16" t="str">
        <x:v>안악 3호분 벽화와 경당·제가 회의 단서로 고구려를 찾고 구휼 제도를 고른다.</x:v>
      </x:c>
      <x:c r="J24" s="16" t="str">
        <x:v>안악 3호분 벽화, 경당, 제가 회의는 고구려를 가리킨다. 고국천왕 때 진대법을 마련하여 곤궁한 백성에게 관곡을 빌려주고 수확 뒤 상환하게 하였다.</x:v>
      </x:c>
      <x:c r="K24" s="71" t="str">
        <x:v>https://github.com/tjdus7911-ops/history/blob/e27f008038d722934eee63070aac4e006c7d7bd9/dist/assets/exams/catalog/64-advanced-03.webp</x:v>
      </x:c>
      <x:c r="L24" s="71" t="str">
        <x:v>https://www.historyexam.go.kr/answer/list.do?times=64&amp;testlevel=1</x:v>
      </x:c>
      <x:c r="M24" s="16" t="str">
        <x:v>C01-S06</x:v>
      </x:c>
      <x:c r="N24" s="27" t="n">
        <x:v>8</x:v>
      </x:c>
      <x:c r="O24" s="16" t="str">
        <x:v>저장소 원문 문항 이미지</x:v>
      </x:c>
      <x:c r="P24" s="16" t="str">
        <x:v>64회 한국사_문제지(심화).pdf</x:v>
      </x:c>
      <x:c r="Q24" s="27" t="n">
        <x:v>1</x:v>
      </x:c>
    </x:row>
    <x:row r="25" ht="53.25" customHeight="1">
      <x:c r="A25" s="13" t="str">
        <x:v>official-64-advanced-06</x:v>
      </x:c>
      <x:c r="B25" s="28" t="n">
        <x:v>64</x:v>
      </x:c>
      <x:c r="C25" s="61" t="str">
        <x:v>심화</x:v>
      </x:c>
      <x:c r="D25" s="28" t="n">
        <x:v>6</x:v>
      </x:c>
      <x:c r="E25" s="28" t="n">
        <x:v>2</x:v>
      </x:c>
      <x:c r="F25" s="49" t="str">
        <x:v>선정</x:v>
      </x:c>
      <x:c r="G25" s="13" t="str">
        <x:v>성왕의 사비 천도</x:v>
      </x:c>
      <x:c r="H25" s="13" t="str">
        <x:v>일반</x:v>
      </x:c>
      <x:c r="I25" s="13" t="str">
        <x:v>무령왕의 뒤를 이은 왕, 남부여, 중앙 관청 22부, 관산성 전사를 단서로 성왕을 식별한다.</x:v>
      </x:c>
      <x:c r="J25" s="13" t="str">
        <x:v>성왕은 538년 수도를 사비로 옮기고 국호를 남부여로 바꾸었다. 자료의 관산성 전사는 554년 성왕의 최후이므로 해당 장면을 본 뒤 푼다.</x:v>
      </x:c>
      <x:c r="K25" s="72" t="str">
        <x:v>https://github.com/tjdus7911-ops/history/blob/e27f008038d722934eee63070aac4e006c7d7bd9/dist/assets/exams/catalog/64-advanced-06.webp</x:v>
      </x:c>
      <x:c r="L25" s="72" t="str">
        <x:v>https://www.historyexam.go.kr/answer/list.do?times=64&amp;testlevel=1</x:v>
      </x:c>
      <x:c r="M25" s="13" t="str">
        <x:v>C08-S10</x:v>
      </x:c>
      <x:c r="N25" s="28" t="n">
        <x:v>6</x:v>
      </x:c>
      <x:c r="O25" s="13" t="str">
        <x:v>저장소 원문 문항 이미지</x:v>
      </x:c>
      <x:c r="P25" s="13" t="str">
        <x:v>64회 한국사_문제지(심화).pdf</x:v>
      </x:c>
      <x:c r="Q25" s="28" t="n">
        <x:v>2</x:v>
      </x:c>
    </x:row>
    <x:row r="26" ht="53.25" customHeight="1">
      <x:c r="A26" s="16" t="str">
        <x:v>official-65-advanced-03</x:v>
      </x:c>
      <x:c r="B26" s="27" t="n">
        <x:v>65</x:v>
      </x:c>
      <x:c r="C26" s="60" t="str">
        <x:v>심화</x:v>
      </x:c>
      <x:c r="D26" s="27" t="n">
        <x:v>3</x:v>
      </x:c>
      <x:c r="E26" s="27" t="n">
        <x:v>2</x:v>
      </x:c>
      <x:c r="F26" s="49" t="str">
        <x:v>선정</x:v>
      </x:c>
      <x:c r="G26" s="16" t="str">
        <x:v>문주왕의 웅진 천도와 무령왕릉</x:v>
      </x:c>
      <x:c r="H26" s="16" t="str">
        <x:v>일반</x:v>
      </x:c>
      <x:c r="I26" s="16" t="str">
        <x:v>한성 함락 뒤 문주왕이 옮긴 도읍인 웅진에서 할 탐구 활동을 고른다.</x:v>
      </x:c>
      <x:c r="J26" s="16" t="str">
        <x:v>문주왕이 천도한 웅진은 오늘날 공주다. 공주에는 무령왕과 왕비의 이름을 확인할 수 있는 지석이 출토된 무령왕릉이 있다.</x:v>
      </x:c>
      <x:c r="K26" s="71" t="str">
        <x:v>https://github.com/tjdus7911-ops/history/blob/e27f008038d722934eee63070aac4e006c7d7bd9/dist/assets/exams/catalog/65-advanced-03.webp</x:v>
      </x:c>
      <x:c r="L26" s="71" t="str">
        <x:v>https://www.historyexam.go.kr/answer/list.do?times=65&amp;testlevel=1</x:v>
      </x:c>
      <x:c r="M26" s="16" t="str">
        <x:v>C08-S03</x:v>
      </x:c>
      <x:c r="N26" s="27" t="n">
        <x:v>4</x:v>
      </x:c>
      <x:c r="O26" s="16" t="str">
        <x:v>저장소 원문 문항 이미지</x:v>
      </x:c>
      <x:c r="P26" s="16" t="str">
        <x:v>제65회 한국사능력검정시험 심화 문제지.pdf</x:v>
      </x:c>
      <x:c r="Q26" s="27" t="n">
        <x:v>1</x:v>
      </x:c>
    </x:row>
    <x:row r="27" ht="53.25" customHeight="1">
      <x:c r="A27" s="13" t="str">
        <x:v>official-65-advanced-05</x:v>
      </x:c>
      <x:c r="B27" s="28" t="n">
        <x:v>65</x:v>
      </x:c>
      <x:c r="C27" s="61" t="str">
        <x:v>심화</x:v>
      </x:c>
      <x:c r="D27" s="28" t="n">
        <x:v>5</x:v>
      </x:c>
      <x:c r="E27" s="28" t="n">
        <x:v>3</x:v>
      </x:c>
      <x:c r="F27" s="49" t="str">
        <x:v>선정</x:v>
      </x:c>
      <x:c r="G27" s="13" t="str">
        <x:v>고국원왕 전사 뒤 소수림왕의 개혁</x:v>
      </x:c>
      <x:c r="H27" s="13" t="str">
        <x:v>일반</x:v>
      </x:c>
      <x:c r="I27" s="13" t="str">
        <x:v>371년 백제의 평양 공격과 고국원왕의 전사 뒤에 일어난 사건을 고른다.</x:v>
      </x:c>
      <x:c r="J27" s="13" t="str">
        <x:v>고국원왕 전사 뒤 즉위한 소수림왕은 불교를 받아들이고 율령을 반포하여 나라를 정비하였다. 미천왕과 고국천왕의 업적은 제시된 사건보다 앞선다.</x:v>
      </x:c>
      <x:c r="K27" s="72" t="str">
        <x:v>https://github.com/tjdus7911-ops/history/blob/e27f008038d722934eee63070aac4e006c7d7bd9/dist/assets/exams/catalog/65-advanced-05.webp</x:v>
      </x:c>
      <x:c r="L27" s="72" t="str">
        <x:v>https://www.historyexam.go.kr/answer/list.do?times=65&amp;testlevel=1</x:v>
      </x:c>
      <x:c r="M27" s="13" t="str">
        <x:v>C03-S03</x:v>
      </x:c>
      <x:c r="N27" s="28" t="n">
        <x:v>8</x:v>
      </x:c>
      <x:c r="O27" s="13" t="str">
        <x:v>저장소 원문 문항 이미지</x:v>
      </x:c>
      <x:c r="P27" s="13" t="str">
        <x:v>제65회 한국사능력검정시험 심화 문제지.pdf</x:v>
      </x:c>
      <x:c r="Q27" s="28" t="n">
        <x:v>2</x:v>
      </x:c>
    </x:row>
    <x:row r="28" ht="53.25" customHeight="1">
      <x:c r="A28" s="16" t="str">
        <x:v>official-65-advanced-06</x:v>
      </x:c>
      <x:c r="B28" s="27" t="n">
        <x:v>65</x:v>
      </x:c>
      <x:c r="C28" s="60" t="str">
        <x:v>심화</x:v>
      </x:c>
      <x:c r="D28" s="27" t="n">
        <x:v>6</x:v>
      </x:c>
      <x:c r="E28" s="27" t="n">
        <x:v>5</x:v>
      </x:c>
      <x:c r="F28" s="49" t="str">
        <x:v>선정</x:v>
      </x:c>
      <x:c r="G28" s="16" t="str">
        <x:v>백강과 매소성 사이 고구려 부흥 운동</x:v>
      </x:c>
      <x:c r="H28" s="16" t="str">
        <x:v>일반</x:v>
      </x:c>
      <x:c r="I28" s="16" t="str">
        <x:v>663년 백강 전투와 675년 매소성 전투 사이에 일어난 사실을 고른다.</x:v>
      </x:c>
      <x:c r="J28" s="16" t="str">
        <x:v>668년 고구려 멸망 뒤 670년 검모잠이 안승을 내세워 부흥 운동을 벌였다. 따라서 제시된 663~675년 사이에 들어간다.</x:v>
      </x:c>
      <x:c r="K28" s="71" t="str">
        <x:v>https://github.com/tjdus7911-ops/history/blob/e27f008038d722934eee63070aac4e006c7d7bd9/dist/assets/exams/catalog/65-advanced-06.webp</x:v>
      </x:c>
      <x:c r="L28" s="71" t="str">
        <x:v>https://www.historyexam.go.kr/answer/list.do?times=65&amp;testlevel=1</x:v>
      </x:c>
      <x:c r="M28" s="16" t="str">
        <x:v>C13-S10</x:v>
      </x:c>
      <x:c r="N28" s="27" t="n">
        <x:v>4</x:v>
      </x:c>
      <x:c r="O28" s="16" t="str">
        <x:v>저장소 원문 문항 이미지</x:v>
      </x:c>
      <x:c r="P28" s="16" t="str">
        <x:v>제65회 한국사능력검정시험 심화 문제지.pdf</x:v>
      </x:c>
      <x:c r="Q28" s="27" t="n">
        <x:v>2</x:v>
      </x:c>
    </x:row>
    <x:row r="29" ht="42" customHeight="1">
      <x:c r="A29" s="13" t="str">
        <x:v>official-66-advanced-03</x:v>
      </x:c>
      <x:c r="B29" s="28" t="n">
        <x:v>66</x:v>
      </x:c>
      <x:c r="C29" s="61" t="str">
        <x:v>심화</x:v>
      </x:c>
      <x:c r="D29" s="28" t="n">
        <x:v>3</x:v>
      </x:c>
      <x:c r="E29" s="28" t="n">
        <x:v>3</x:v>
      </x:c>
      <x:c r="F29" s="49" t="str">
        <x:v>선정</x:v>
      </x:c>
      <x:c r="G29" s="13" t="str">
        <x:v>천마총과 천마도를 단서로 신라의 문화유산을 고르는 이미지 문항</x:v>
      </x:c>
      <x:c r="H29" s="13" t="str">
        <x:v>일반</x:v>
      </x:c>
      <x:c r="I29" s="13" t="str">
        <x:v>천마총은 돌무지덧널무덤이며, 특별전 자료에 말다래 천마도가 제시된다.</x:v>
      </x:c>
      <x:c r="J29" s="13" t="str">
        <x:v>자료의 천마총과 천마도는 신라 유산이다. 정답 사진 ③의 금관을 신라의 돌무지덧널무덤에서 나온 유물과 연결한다.</x:v>
      </x:c>
      <x:c r="K29" s="72" t="str">
        <x:v>https://www.historyexam.go.kr/atchFile/FileDown.do?atch_file_id=B_202308131157406580#page=1</x:v>
      </x:c>
      <x:c r="L29" s="72" t="str">
        <x:v>https://www.historyexam.go.kr/atchFile/FileDown.do?atch_file_id=B_202308131157407821</x:v>
      </x:c>
      <x:c r="M29" s="13" t="str">
        <x:v>C10-S03</x:v>
      </x:c>
      <x:c r="N29" s="28" t="n">
        <x:v>3</x:v>
      </x:c>
      <x:c r="O29" s="13" t="str">
        <x:v>사용자 문제지 PDF</x:v>
      </x:c>
      <x:c r="P29" s="13" t="str">
        <x:v>66회 한국사_문제지(심화).pdf</x:v>
      </x:c>
      <x:c r="Q29" s="28" t="n">
        <x:v>1</x:v>
      </x:c>
    </x:row>
    <x:row r="30" ht="53.25" customHeight="1">
      <x:c r="A30" s="16" t="str">
        <x:v>official-66-advanced-04</x:v>
      </x:c>
      <x:c r="B30" s="27" t="n">
        <x:v>66</x:v>
      </x:c>
      <x:c r="C30" s="60" t="str">
        <x:v>심화</x:v>
      </x:c>
      <x:c r="D30" s="27" t="n">
        <x:v>4</x:v>
      </x:c>
      <x:c r="E30" s="27" t="n">
        <x:v>4</x:v>
      </x:c>
      <x:c r="F30" s="49" t="str">
        <x:v>선정</x:v>
      </x:c>
      <x:c r="G30" s="16" t="str">
        <x:v>신라에 침입한 왜를 물리친 고구려 왕의 업적을 고른다</x:v>
      </x:c>
      <x:c r="H30" s="16" t="str">
        <x:v>일반</x:v>
      </x:c>
      <x:c r="I30" s="16" t="str">
        <x:v>고구려 왕이 보병과 기병 5만 명을 보내 신라를 구원했다는 기록.</x:v>
      </x:c>
      <x:c r="J30" s="16" t="str">
        <x:v>신라에 군대를 보내 왜를 물리친 왕은 광개토대왕이다. 광개토대왕은 영락이라는 독자적 연호를 사용했으므로 ④가 옳다.</x:v>
      </x:c>
      <x:c r="K30" s="71" t="str">
        <x:v>https://www.historyexam.go.kr/atchFile/FileDown.do?atch_file_id=B_202308131157406580#page=1</x:v>
      </x:c>
      <x:c r="L30" s="71" t="str">
        <x:v>https://www.historyexam.go.kr/atchFile/FileDown.do?atch_file_id=B_202308131157407821</x:v>
      </x:c>
      <x:c r="M30" s="16" t="str">
        <x:v>C03-S07</x:v>
      </x:c>
      <x:c r="N30" s="27" t="n">
        <x:v>4</x:v>
      </x:c>
      <x:c r="O30" s="16" t="str">
        <x:v>사용자 문제지 PDF</x:v>
      </x:c>
      <x:c r="P30" s="16" t="str">
        <x:v>66회 한국사_문제지(심화).pdf</x:v>
      </x:c>
      <x:c r="Q30" s="27" t="n">
        <x:v>1</x:v>
      </x:c>
    </x:row>
    <x:row r="31" ht="67.5" customHeight="1">
      <x:c r="A31" s="13" t="str">
        <x:v>official-66-advanced-05</x:v>
      </x:c>
      <x:c r="B31" s="28" t="n">
        <x:v>66</x:v>
      </x:c>
      <x:c r="C31" s="61" t="str">
        <x:v>심화</x:v>
      </x:c>
      <x:c r="D31" s="28" t="n">
        <x:v>5</x:v>
      </x:c>
      <x:c r="E31" s="28" t="n">
        <x:v>1</x:v>
      </x:c>
      <x:c r="F31" s="49" t="str">
        <x:v>선정</x:v>
      </x:c>
      <x:c r="G31" s="13" t="str">
        <x:v>미륵사 사리봉영기를 단서로 백제 무왕을 알아보고 같은 재위 기간의 사건을 고른다</x:v>
      </x:c>
      <x:c r="H31" s="13" t="str">
        <x:v>일반</x:v>
      </x:c>
      <x:c r="I31" s="13" t="str">
        <x:v>삼국유사의 선화 공주 전승과 금제 사리봉영기의 사택적덕 딸 기록을 비교한다.</x:v>
      </x:c>
      <x:c r="J31" s="13" t="str">
        <x:v>미륵사 창건을 다루는 자료의 왕은 무왕이다. 무왕 재위 중 고구려에서 일어난 살수대첩을 고르는 문제이므로 ①이 옳다. 다른 보기의 사건을 무왕 자신의 업적으로 바꾸어 설명하면 안 된다.</x:v>
      </x:c>
      <x:c r="K31" s="72" t="str">
        <x:v>https://www.historyexam.go.kr/atchFile/FileDown.do?atch_file_id=B_202308131157406580#page=2</x:v>
      </x:c>
      <x:c r="L31" s="72" t="str">
        <x:v>https://www.historyexam.go.kr/atchFile/FileDown.do?atch_file_id=B_202308131157407821</x:v>
      </x:c>
      <x:c r="M31" s="13" t="str">
        <x:v>C09-S01</x:v>
      </x:c>
      <x:c r="N31" s="28" t="n">
        <x:v>3</x:v>
      </x:c>
      <x:c r="O31" s="13" t="str">
        <x:v>사용자 문제지 PDF</x:v>
      </x:c>
      <x:c r="P31" s="13" t="str">
        <x:v>66회 한국사_문제지(심화).pdf</x:v>
      </x:c>
      <x:c r="Q31" s="28" t="n">
        <x:v>2</x:v>
      </x:c>
    </x:row>
    <x:row r="32" ht="67.5" customHeight="1">
      <x:c r="A32" s="16" t="str">
        <x:v>official-66-advanced-06</x:v>
      </x:c>
      <x:c r="B32" s="27" t="n">
        <x:v>66</x:v>
      </x:c>
      <x:c r="C32" s="60" t="str">
        <x:v>심화</x:v>
      </x:c>
      <x:c r="D32" s="27" t="n">
        <x:v>6</x:v>
      </x:c>
      <x:c r="E32" s="27" t="n">
        <x:v>5</x:v>
      </x:c>
      <x:c r="F32" s="49" t="str">
        <x:v>선정</x:v>
      </x:c>
      <x:c r="G32" s="16" t="str">
        <x:v>청해진과 당 교역로를 단서로 통일신라의 경제 제도를 고른다</x:v>
      </x:c>
      <x:c r="H32" s="16" t="str">
        <x:v>일반</x:v>
      </x:c>
      <x:c r="I32" s="16" t="str">
        <x:v>지도에 청해진과 법화원을 포함한 해상 교역로가 제시된다.</x:v>
      </x:c>
      <x:c r="J32" s="16" t="str">
        <x:v>청해진을 통해 해상 교역을 활발히 전개한 국가는 통일신라이다. 통일신라는 촌락의 인구와 토지 등을 조사해 조세 수취 자료로 삼았으며, 원문 정답은 ⑤의 3년마다 작성한 촌락 문서이다.</x:v>
      </x:c>
      <x:c r="K32" s="71" t="str">
        <x:v>https://www.historyexam.go.kr/atchFile/FileDown.do?atch_file_id=B_202308131157406580#page=2</x:v>
      </x:c>
      <x:c r="L32" s="71" t="str">
        <x:v>https://www.historyexam.go.kr/atchFile/FileDown.do?atch_file_id=B_202308131157407821</x:v>
      </x:c>
      <x:c r="M32" s="16" t="str">
        <x:v>C18-S03</x:v>
      </x:c>
      <x:c r="N32" s="27" t="n">
        <x:v>3</x:v>
      </x:c>
      <x:c r="O32" s="16" t="str">
        <x:v>사용자 문제지 PDF</x:v>
      </x:c>
      <x:c r="P32" s="16" t="str">
        <x:v>66회 한국사_문제지(심화).pdf</x:v>
      </x:c>
      <x:c r="Q32" s="27" t="n">
        <x:v>2</x:v>
      </x:c>
    </x:row>
    <x:row r="33" ht="53.25" customHeight="1">
      <x:c r="A33" s="13" t="str">
        <x:v>official-66-advanced-07</x:v>
      </x:c>
      <x:c r="B33" s="28" t="n">
        <x:v>66</x:v>
      </x:c>
      <x:c r="C33" s="61" t="str">
        <x:v>심화</x:v>
      </x:c>
      <x:c r="D33" s="28" t="n">
        <x:v>7</x:v>
      </x:c>
      <x:c r="E33" s="28" t="n">
        <x:v>5</x:v>
      </x:c>
      <x:c r="F33" s="39" t="str">
        <x:v>검토만</x:v>
      </x:c>
      <x:c r="G33" s="13" t="str">
        <x:v>김경신의 즉위와 원종·애노의 난 사이에 해당하는 사건을 고른다</x:v>
      </x:c>
      <x:c r="H33" s="13" t="str">
        <x:v>일반</x:v>
      </x:c>
      <x:c r="I33" s="13" t="str">
        <x:v>선덕왕 사후 김주원 대신 김경신이 왕위에 오른 기록과 진성여왕 때 농민 봉기 기록이 제시된다.</x:v>
      </x:c>
      <x:c r="J33" s="13" t="str">
        <x:v>앞 자료는 원성왕 김경신의 즉위이고 뒤 자료는 원종·애노의 난이다. 그 사이 신라 하대에 일어난 김헌창의 난을 진압하는 모습을 고르는 ⑤가 옳다.</x:v>
      </x:c>
      <x:c r="K33" s="72" t="str">
        <x:v>https://www.historyexam.go.kr/atchFile/FileDown.do?atch_file_id=B_202308131157406580#page=2</x:v>
      </x:c>
      <x:c r="L33" s="72" t="str">
        <x:v>https://www.historyexam.go.kr/atchFile/FileDown.do?atch_file_id=B_202308131157407821</x:v>
      </x:c>
      <x:c r="M33" s="13" t="str">
        <x:v>—</x:v>
      </x:c>
      <x:c r="N33" s="28" t="n">
        <x:v>0</x:v>
      </x:c>
      <x:c r="O33" s="13" t="str">
        <x:v>사용자 문제지 PDF</x:v>
      </x:c>
      <x:c r="P33" s="13" t="str">
        <x:v>66회 한국사_문제지(심화).pdf</x:v>
      </x:c>
      <x:c r="Q33" s="28" t="n">
        <x:v>2</x:v>
      </x:c>
    </x:row>
    <x:row r="34" ht="53.25" customHeight="1">
      <x:c r="A34" s="16" t="str">
        <x:v>official-66-advanced-08</x:v>
      </x:c>
      <x:c r="B34" s="27" t="n">
        <x:v>66</x:v>
      </x:c>
      <x:c r="C34" s="60" t="str">
        <x:v>심화</x:v>
      </x:c>
      <x:c r="D34" s="27" t="n">
        <x:v>8</x:v>
      </x:c>
      <x:c r="E34" s="27" t="n">
        <x:v>5</x:v>
      </x:c>
      <x:c r="F34" s="49" t="str">
        <x:v>선정</x:v>
      </x:c>
      <x:c r="G34" s="16" t="str">
        <x:v>발해 유적의 연꽃무늬 수막새와 온돌을 통해 고구려 문화 계승을 묻는다</x:v>
      </x:c>
      <x:c r="H34" s="16" t="str">
        <x:v>일반</x:v>
      </x:c>
      <x:c r="I34" s="16" t="str">
        <x:v>크라스키노 성 유적 출토 연꽃무늬 수막새와 콕샤로프카 평지성 온돌 유적 사진.</x:v>
      </x:c>
      <x:c r="J34" s="16" t="str">
        <x:v>두 사진은 발해 유적의 수막새와 온돌이다. 고구려 문화와 이어지는 특징을 함께 보여 주므로 탐구 주제는 ⑤ 발해와 고구려의 문화적 연관성이다.</x:v>
      </x:c>
      <x:c r="K34" s="71" t="str">
        <x:v>https://www.historyexam.go.kr/atchFile/FileDown.do?atch_file_id=B_202308131157406580#page=2</x:v>
      </x:c>
      <x:c r="L34" s="71" t="str">
        <x:v>https://www.historyexam.go.kr/atchFile/FileDown.do?atch_file_id=B_202308131157407821</x:v>
      </x:c>
      <x:c r="M34" s="16" t="str">
        <x:v>C21-S09</x:v>
      </x:c>
      <x:c r="N34" s="27" t="n">
        <x:v>6</x:v>
      </x:c>
      <x:c r="O34" s="16" t="str">
        <x:v>사용자 문제지 PDF</x:v>
      </x:c>
      <x:c r="P34" s="16" t="str">
        <x:v>66회 한국사_문제지(심화).pdf</x:v>
      </x:c>
      <x:c r="Q34" s="27" t="n">
        <x:v>2</x:v>
      </x:c>
    </x:row>
    <x:row r="35" ht="53.25" customHeight="1">
      <x:c r="A35" s="13" t="str">
        <x:v>official-66-advanced-09</x:v>
      </x:c>
      <x:c r="B35" s="28" t="n">
        <x:v>66</x:v>
      </x:c>
      <x:c r="C35" s="61" t="str">
        <x:v>심화</x:v>
      </x:c>
      <x:c r="D35" s="28" t="n">
        <x:v>9</x:v>
      </x:c>
      <x:c r="E35" s="28" t="n">
        <x:v>3</x:v>
      </x:c>
      <x:c r="F35" s="39" t="str">
        <x:v>검토만</x:v>
      </x:c>
      <x:c r="G35" s="13" t="str">
        <x:v>금산사에 유폐되었다가 탈출한 후백제 견훤의 외교를 묻는다</x:v>
      </x:c>
      <x:c r="H35" s="13" t="str">
        <x:v>일반</x:v>
      </x:c>
      <x:c r="I35" s="13" t="str">
        <x:v>완산주를 도읍으로 국가를 세운 인물이 아들 신검에게 금산사에 유폐되었다.</x:v>
      </x:c>
      <x:c r="J35" s="13" t="str">
        <x:v>완산주에 후백제를 세우고 금산사에 유폐된 인물은 견훤이다. 견훤은 후당과 오월에 사신을 보내 외교 관계를 맺었으므로 ③이 옳다.</x:v>
      </x:c>
      <x:c r="K35" s="72" t="str">
        <x:v>https://www.historyexam.go.kr/atchFile/FileDown.do?atch_file_id=B_202308131157406580#page=3</x:v>
      </x:c>
      <x:c r="L35" s="72" t="str">
        <x:v>https://www.historyexam.go.kr/atchFile/FileDown.do?atch_file_id=B_202308131157407821</x:v>
      </x:c>
      <x:c r="M35" s="13" t="str">
        <x:v>—</x:v>
      </x:c>
      <x:c r="N35" s="28" t="n">
        <x:v>0</x:v>
      </x:c>
      <x:c r="O35" s="13" t="str">
        <x:v>사용자 문제지 PDF</x:v>
      </x:c>
      <x:c r="P35" s="13" t="str">
        <x:v>66회 한국사_문제지(심화).pdf</x:v>
      </x:c>
      <x:c r="Q35" s="28" t="n">
        <x:v>3</x:v>
      </x:c>
    </x:row>
    <x:row r="36" ht="67.5" customHeight="1">
      <x:c r="A36" s="16" t="str">
        <x:v>official-67-basic-03</x:v>
      </x:c>
      <x:c r="B36" s="27" t="n">
        <x:v>67</x:v>
      </x:c>
      <x:c r="C36" s="60" t="str">
        <x:v>기본</x:v>
      </x:c>
      <x:c r="D36" s="27" t="n">
        <x:v>3</x:v>
      </x:c>
      <x:c r="E36" s="27" t="n">
        <x:v>4</x:v>
      </x:c>
      <x:c r="F36" s="49" t="str">
        <x:v>선정</x:v>
      </x:c>
      <x:c r="G36" s="16" t="str">
        <x:v>거란·숙신·후연·동부여를 정벌한 고구려 왕의 업적을 고른다</x:v>
      </x:c>
      <x:c r="H36" s="16" t="str">
        <x:v>일반</x:v>
      </x:c>
      <x:c r="I36" s="16" t="str">
        <x:v>가상 발화자가 자신을 고구려 제19대 왕으로 소개하고 여러 세력을 정벌하여 영토를 넓혔다고 말한다.</x:v>
      </x:c>
      <x:c r="J36" s="16" t="str">
        <x:v>자료의 고구려 제19대 왕은 광개토대왕이다. 광개토대왕은 신라에 침입한 왜를 물리치기 위해 군대를 보냈으므로 ④가 옳다. 태학 설립은 소수림왕, 평양 천도는 장수왕의 업적이다.</x:v>
      </x:c>
      <x:c r="K36" s="71" t="str">
        <x:v>https://www.historyexam.go.kr/atchFile/FileDown.do?atch_file_id=B_202310211224416310#page=1</x:v>
      </x:c>
      <x:c r="L36" s="71" t="str">
        <x:v>https://www.historyexam.go.kr/atchFile/FileDown.do?atch_file_id=B_202310211224416911</x:v>
      </x:c>
      <x:c r="M36" s="16" t="str">
        <x:v>C03-S08</x:v>
      </x:c>
      <x:c r="N36" s="27" t="n">
        <x:v>5</x:v>
      </x:c>
      <x:c r="O36" s="16" t="str">
        <x:v>사용자 문제지 PDF</x:v>
      </x:c>
      <x:c r="P36" s="16" t="str">
        <x:v>67회 한국사_문제지(기본).pdf</x:v>
      </x:c>
      <x:c r="Q36" s="27" t="n">
        <x:v>1</x:v>
      </x:c>
    </x:row>
    <x:row r="37" ht="67.5" customHeight="1">
      <x:c r="A37" s="13" t="str">
        <x:v>official-67-basic-04</x:v>
      </x:c>
      <x:c r="B37" s="28" t="n">
        <x:v>67</x:v>
      </x:c>
      <x:c r="C37" s="61" t="str">
        <x:v>기본</x:v>
      </x:c>
      <x:c r="D37" s="28" t="n">
        <x:v>4</x:v>
      </x:c>
      <x:c r="E37" s="28" t="n">
        <x:v>3</x:v>
      </x:c>
      <x:c r="F37" s="39" t="str">
        <x:v>검토만</x:v>
      </x:c>
      <x:c r="G37" s="13" t="str">
        <x:v>무령왕릉과 함께 백제 문화유산 조사 보고서에 넣을 유산을 고른다</x:v>
      </x:c>
      <x:c r="H37" s="13" t="str">
        <x:v>일반</x:v>
      </x:c>
      <x:c r="I37" s="13" t="str">
        <x:v>보고서의 주제는 백제 문화유산이며, 조사한 유산의 한 칸에 벽돌로 쌓은 무령왕릉 내부 사진이 제시되어 있다.</x:v>
      </x:c>
      <x:c r="J37" s="13" t="str">
        <x:v>③ 몽촌 토성은 한성 시기 백제의 성곽 유적이다. 자료에 함께 제시된 무령왕릉도 백제의 유산이다. ① 금동 연가 7년명 여래 입상과 ④ 장군총은 고구려, ② 천마총 장니 천마도는 신라의 유산이다.</x:v>
      </x:c>
      <x:c r="K37" s="72" t="str">
        <x:v>https://www.historyexam.go.kr/atchFile/FileDown.do?atch_file_id=B_202310211224416310#page=1</x:v>
      </x:c>
      <x:c r="L37" s="72" t="str">
        <x:v>https://www.historyexam.go.kr/atchFile/FileDown.do?atch_file_id=B_202310211224416911</x:v>
      </x:c>
      <x:c r="M37" s="13" t="str">
        <x:v>—</x:v>
      </x:c>
      <x:c r="N37" s="28" t="n">
        <x:v>0</x:v>
      </x:c>
      <x:c r="O37" s="13" t="str">
        <x:v>사용자 문제지 PDF</x:v>
      </x:c>
      <x:c r="P37" s="13" t="str">
        <x:v>67회 한국사_문제지(기본).pdf</x:v>
      </x:c>
      <x:c r="Q37" s="28" t="n">
        <x:v>1</x:v>
      </x:c>
    </x:row>
    <x:row r="38" ht="67.5" customHeight="1">
      <x:c r="A38" s="16" t="str">
        <x:v>official-67-basic-05</x:v>
      </x:c>
      <x:c r="B38" s="27" t="n">
        <x:v>67</x:v>
      </x:c>
      <x:c r="C38" s="60" t="str">
        <x:v>기본</x:v>
      </x:c>
      <x:c r="D38" s="27" t="n">
        <x:v>5</x:v>
      </x:c>
      <x:c r="E38" s="27" t="n">
        <x:v>2</x:v>
      </x:c>
      <x:c r="F38" s="49" t="str">
        <x:v>선정</x:v>
      </x:c>
      <x:c r="G38" s="16" t="str">
        <x:v>단양 신라 적성비를 세운 왕의 다른 업적을 고른다</x:v>
      </x:c>
      <x:c r="H38" s="16" t="str">
        <x:v>일반</x:v>
      </x:c>
      <x:c r="I38" s="16" t="str">
        <x:v>고구려 영토인 적성을 점령한 뒤 세운 비이며, 이사부와 신라에 협력한 적성 주민 야이차가 비문에 나온다.</x:v>
      </x:c>
      <x:c r="J38" s="16" t="str">
        <x:v>단양 신라 적성비는 진흥왕 때 신라의 적성 진출과 공로자 포상을 알려 준다. 진흥왕은 화랑도를 국가 조직으로 정비하였으므로 ②가 옳다. 적성비를 순수비와 같은 종류의 비라고 서술하지 않는다.</x:v>
      </x:c>
      <x:c r="K38" s="71" t="str">
        <x:v>https://www.historyexam.go.kr/atchFile/FileDown.do?atch_file_id=B_202310211224416310#page=2</x:v>
      </x:c>
      <x:c r="L38" s="71" t="str">
        <x:v>https://www.historyexam.go.kr/atchFile/FileDown.do?atch_file_id=B_202310211224416911</x:v>
      </x:c>
      <x:c r="M38" s="16" t="str">
        <x:v>C12-S07</x:v>
      </x:c>
      <x:c r="N38" s="27" t="n">
        <x:v>3</x:v>
      </x:c>
      <x:c r="O38" s="16" t="str">
        <x:v>사용자 문제지 PDF</x:v>
      </x:c>
      <x:c r="P38" s="16" t="str">
        <x:v>67회 한국사_문제지(기본).pdf</x:v>
      </x:c>
      <x:c r="Q38" s="27" t="n">
        <x:v>2</x:v>
      </x:c>
    </x:row>
    <x:row r="39" ht="53.25" customHeight="1">
      <x:c r="A39" s="13" t="str">
        <x:v>official-67-basic-06</x:v>
      </x:c>
      <x:c r="B39" s="28" t="n">
        <x:v>67</x:v>
      </x:c>
      <x:c r="C39" s="61" t="str">
        <x:v>기본</x:v>
      </x:c>
      <x:c r="D39" s="28" t="n">
        <x:v>6</x:v>
      </x:c>
      <x:c r="E39" s="28" t="n">
        <x:v>3</x:v>
      </x:c>
      <x:c r="F39" s="49" t="str">
        <x:v>선정</x:v>
      </x:c>
      <x:c r="G39" s="13" t="str">
        <x:v>김해·고령·함안 고분군의 유물을 남긴 나라의 특징을 고른다</x:v>
      </x:c>
      <x:c r="H39" s="13" t="str">
        <x:v>일반</x:v>
      </x:c>
      <x:c r="I39" s="13" t="str">
        <x:v>김해 대성동, 고령 지산동, 함안 말이산 고분군과 금동 허리띠·금동관·봉황 장식 금동관이 제시된다.</x:v>
      </x:c>
      <x:c r="J39" s="13" t="str">
        <x:v>김해·고령·함안의 고분군과 제시된 금속 유물은 가야의 여러 정치체를 가리킨다. 가야는 풍부한 철을 생산하여 낙랑과 왜 등에 수출하였으므로 ③이 옳다.</x:v>
      </x:c>
      <x:c r="K39" s="72" t="str">
        <x:v>https://www.historyexam.go.kr/atchFile/FileDown.do?atch_file_id=B_202310211224416310#page=2</x:v>
      </x:c>
      <x:c r="L39" s="72" t="str">
        <x:v>https://www.historyexam.go.kr/atchFile/FileDown.do?atch_file_id=B_202310211224416911</x:v>
      </x:c>
      <x:c r="M39" s="13" t="str">
        <x:v>C15-S04</x:v>
      </x:c>
      <x:c r="N39" s="28" t="n">
        <x:v>4</x:v>
      </x:c>
      <x:c r="O39" s="13" t="str">
        <x:v>사용자 문제지 PDF</x:v>
      </x:c>
      <x:c r="P39" s="13" t="str">
        <x:v>67회 한국사_문제지(기본).pdf</x:v>
      </x:c>
      <x:c r="Q39" s="28" t="n">
        <x:v>2</x:v>
      </x:c>
    </x:row>
    <x:row r="40" ht="67.5" customHeight="1">
      <x:c r="A40" s="16" t="str">
        <x:v>official-67-basic-07</x:v>
      </x:c>
      <x:c r="B40" s="27" t="n">
        <x:v>67</x:v>
      </x:c>
      <x:c r="C40" s="60" t="str">
        <x:v>기본</x:v>
      </x:c>
      <x:c r="D40" s="27" t="n">
        <x:v>7</x:v>
      </x:c>
      <x:c r="E40" s="27" t="n">
        <x:v>2</x:v>
      </x:c>
      <x:c r="F40" s="49" t="str">
        <x:v>선정</x:v>
      </x:c>
      <x:c r="G40" s="16" t="str">
        <x:v>김춘추의 고구려 원병 요청, 황산벌 전투, 기벌포 전투를 시간순으로 배열한다</x:v>
      </x:c>
      <x:c r="H40" s="16" t="str">
        <x:v>일반</x:v>
      </x:c>
      <x:c r="I40" s="16" t="str">
        <x:v>(가) 김춘추가 고구려에 군대를 요청함, (나) 문무왕 때 기벌포 앞바다에서 당 수군을 물리침, (다) 김유신이 황산벌에서 계백의 백제군과 싸움.</x:v>
      </x:c>
      <x:c r="J40" s="16" t="str">
        <x:v>김춘추의 고구려 원병 요청은 642년, 황산벌 전투는 660년, 기벌포 전투는 676년이다. 따라서 (가)→(다)→(나)인 ②가 정답이다. 자료의 문무왕 발화는 왕대의 전쟁을 요약한 것으로, 왕이 직접 수군을 지휘했다는 뜻으로 확장하지 않는다.</x:v>
      </x:c>
      <x:c r="K40" s="71" t="str">
        <x:v>https://www.historyexam.go.kr/atchFile/FileDown.do?atch_file_id=B_202310211224416310#page=2</x:v>
      </x:c>
      <x:c r="L40" s="71" t="str">
        <x:v>https://www.historyexam.go.kr/atchFile/FileDown.do?atch_file_id=B_202310211224416911</x:v>
      </x:c>
      <x:c r="M40" s="16" t="str">
        <x:v>추가 후보만</x:v>
      </x:c>
      <x:c r="N40" s="27" t="n">
        <x:v>1</x:v>
      </x:c>
      <x:c r="O40" s="16" t="str">
        <x:v>사용자 문제지 PDF</x:v>
      </x:c>
      <x:c r="P40" s="16" t="str">
        <x:v>67회 한국사_문제지(기본).pdf</x:v>
      </x:c>
      <x:c r="Q40" s="27" t="n">
        <x:v>2</x:v>
      </x:c>
    </x:row>
    <x:row r="41" ht="67.5" customHeight="1">
      <x:c r="A41" s="13" t="str">
        <x:v>official-67-basic-08</x:v>
      </x:c>
      <x:c r="B41" s="28" t="n">
        <x:v>67</x:v>
      </x:c>
      <x:c r="C41" s="61" t="str">
        <x:v>기본</x:v>
      </x:c>
      <x:c r="D41" s="28" t="n">
        <x:v>8</x:v>
      </x:c>
      <x:c r="E41" s="28" t="n">
        <x:v>1</x:v>
      </x:c>
      <x:c r="F41" s="49" t="str">
        <x:v>선정</x:v>
      </x:c>
      <x:c r="G41" s="13" t="str">
        <x:v>문왕이 상경성을 조성한 국가의 문화유산이 아닌 것을 고른다</x:v>
      </x:c>
      <x:c r="H41" s="65" t="str">
        <x:v>부정형</x:v>
      </x:c>
      <x:c r="I41" s="13" t="str">
        <x:v>여러 차례 도읍을 옮긴 국가가 상경성을 오랫동안 도읍으로 삼았고, 문왕이 당 장안성의 구조를 본떴다고 설명한다.</x:v>
      </x:c>
      <x:c r="J41" s="13" t="str">
        <x:v>상경성과 문왕이라는 단서가 가리키는 나라는 발해이다. 이불병좌상·영광탑·정효 공주 묘 벽화는 발해 유산이지만, ① 칠지도는 백제와 관련된 유물이므로 발해 유산이 아닌 것을 묻는 정답이 된다.</x:v>
      </x:c>
      <x:c r="K41" s="72" t="str">
        <x:v>https://www.historyexam.go.kr/atchFile/FileDown.do?atch_file_id=B_202310211224416310#page=2</x:v>
      </x:c>
      <x:c r="L41" s="72" t="str">
        <x:v>https://www.historyexam.go.kr/atchFile/FileDown.do?atch_file_id=B_202310211224416911</x:v>
      </x:c>
      <x:c r="M41" s="13" t="str">
        <x:v>추가 후보만</x:v>
      </x:c>
      <x:c r="N41" s="28" t="n">
        <x:v>1</x:v>
      </x:c>
      <x:c r="O41" s="13" t="str">
        <x:v>사용자 문제지 PDF</x:v>
      </x:c>
      <x:c r="P41" s="13" t="str">
        <x:v>67회 한국사_문제지(기본).pdf</x:v>
      </x:c>
      <x:c r="Q41" s="28" t="n">
        <x:v>2</x:v>
      </x:c>
    </x:row>
    <x:row r="42" ht="67.5" customHeight="1">
      <x:c r="A42" s="16" t="str">
        <x:v>official-67-basic-09</x:v>
      </x:c>
      <x:c r="B42" s="27" t="n">
        <x:v>67</x:v>
      </x:c>
      <x:c r="C42" s="60" t="str">
        <x:v>기본</x:v>
      </x:c>
      <x:c r="D42" s="27" t="n">
        <x:v>9</x:v>
      </x:c>
      <x:c r="E42" s="27" t="n">
        <x:v>1</x:v>
      </x:c>
      <x:c r="F42" s="49" t="str">
        <x:v>선정</x:v>
      </x:c>
      <x:c r="G42" s="16" t="str">
        <x:v>화강암으로 만든 석굴암 내부의 불상을 사진에서 찾는다</x:v>
      </x:c>
      <x:c r="H42" s="16" t="str">
        <x:v>일반</x:v>
      </x:c>
      <x:c r="I42" s="16" t="str">
        <x:v>자료에서 석굴암을 화강암으로 만든 인공 석굴 사원이라고 소개하며 내부의 불상을 고르게 한다.</x:v>
      </x:c>
      <x:c r="J42" s="16" t="str">
        <x:v>①은 석굴암 내부 연화 대좌에 앉아 있는 본존불의 사진이다. 석굴암은 화강암을 이용해 조성한 인공 석굴 사원이므로 자료의 설명과 일치한다. 정답은 사진 속 불상의 모습으로 확인해야 한다.</x:v>
      </x:c>
      <x:c r="K42" s="71" t="str">
        <x:v>https://www.historyexam.go.kr/atchFile/FileDown.do?atch_file_id=B_202310211224416310#page=3</x:v>
      </x:c>
      <x:c r="L42" s="71" t="str">
        <x:v>https://www.historyexam.go.kr/atchFile/FileDown.do?atch_file_id=B_202310211224416911</x:v>
      </x:c>
      <x:c r="M42" s="16" t="str">
        <x:v>C17-S06</x:v>
      </x:c>
      <x:c r="N42" s="27" t="n">
        <x:v>1</x:v>
      </x:c>
      <x:c r="O42" s="16" t="str">
        <x:v>사용자 문제지 PDF</x:v>
      </x:c>
      <x:c r="P42" s="16" t="str">
        <x:v>67회 한국사_문제지(기본).pdf</x:v>
      </x:c>
      <x:c r="Q42" s="27" t="n">
        <x:v>3</x:v>
      </x:c>
    </x:row>
    <x:row r="43" ht="53.25" customHeight="1">
      <x:c r="A43" s="13" t="str">
        <x:v>official-67-basic-10</x:v>
      </x:c>
      <x:c r="B43" s="28" t="n">
        <x:v>67</x:v>
      </x:c>
      <x:c r="C43" s="61" t="str">
        <x:v>기본</x:v>
      </x:c>
      <x:c r="D43" s="28" t="n">
        <x:v>10</x:v>
      </x:c>
      <x:c r="E43" s="28" t="n">
        <x:v>2</x:v>
      </x:c>
      <x:c r="F43" s="49" t="str">
        <x:v>선정</x:v>
      </x:c>
      <x:c r="G43" s="13" t="str">
        <x:v>신라 말 지방에서 독자적인 지배력을 형성한 세력의 이름을 고른다</x:v>
      </x:c>
      <x:c r="H43" s="13" t="str">
        <x:v>일반</x:v>
      </x:c>
      <x:c r="I43" s="13" t="str">
        <x:v>신라 말에 성장했고 일정 지역의 정치·군사·경제적 지배권을 장악하며 성주 또는 장군을 자칭했다는 학습 정리.</x:v>
      </x:c>
      <x:c r="J43" s="13" t="str">
        <x:v>신라 말 지방에서 독자적인 지배 기반을 갖추고 성주나 장군을 자칭한 세력은 호족이다. 따라서 ②가 정답이다. 권문세족과 신진 사대부는 고려 후기의 세력이다.</x:v>
      </x:c>
      <x:c r="K43" s="72" t="str">
        <x:v>https://www.historyexam.go.kr/atchFile/FileDown.do?atch_file_id=B_202310211224416310#page=3</x:v>
      </x:c>
      <x:c r="L43" s="72" t="str">
        <x:v>https://www.historyexam.go.kr/atchFile/FileDown.do?atch_file_id=B_202310211224416911</x:v>
      </x:c>
      <x:c r="M43" s="13" t="str">
        <x:v>C19-S03</x:v>
      </x:c>
      <x:c r="N43" s="28" t="n">
        <x:v>3</x:v>
      </x:c>
      <x:c r="O43" s="13" t="str">
        <x:v>사용자 문제지 PDF</x:v>
      </x:c>
      <x:c r="P43" s="13" t="str">
        <x:v>67회 한국사_문제지(기본).pdf</x:v>
      </x:c>
      <x:c r="Q43" s="28" t="n">
        <x:v>3</x:v>
      </x:c>
    </x:row>
    <x:row r="44" ht="67.5" customHeight="1">
      <x:c r="A44" s="16" t="str">
        <x:v>official-67-basic-11</x:v>
      </x:c>
      <x:c r="B44" s="27" t="n">
        <x:v>67</x:v>
      </x:c>
      <x:c r="C44" s="60" t="str">
        <x:v>기본</x:v>
      </x:c>
      <x:c r="D44" s="27" t="n">
        <x:v>11</x:v>
      </x:c>
      <x:c r="E44" s="27" t="n">
        <x:v>1</x:v>
      </x:c>
      <x:c r="F44" s="39" t="str">
        <x:v>검토만</x:v>
      </x:c>
      <x:c r="G44" s="16" t="str">
        <x:v>발해 유민과 견훤을 받아들인 고려 왕의 다른 정책을 고른다</x:v>
      </x:c>
      <x:c r="H44" s="16" t="str">
        <x:v>일반</x:v>
      </x:c>
      <x:c r="I44" s="16" t="str">
        <x:v>고려의 왕이 발해 유민을 받아들여 조상 제사를 지낼 수 있게 배려했고, 적대했던 견훤까지 포용했다는 대화.</x:v>
      </x:c>
      <x:c r="J44" s="16" t="str">
        <x:v>발해 유민과 견훤을 받아들인 왕은 고려 태조 왕건이다. 왕건은 빈민을 구제하기 위한 흑창을 설치했으므로 ①이 옳다. 강화 천도·과거제 도입·전민변정도감 설치는 태조의 정책이 아니다.</x:v>
      </x:c>
      <x:c r="K44" s="71" t="str">
        <x:v>https://www.historyexam.go.kr/atchFile/FileDown.do?atch_file_id=B_202310211224416310#page=3</x:v>
      </x:c>
      <x:c r="L44" s="71" t="str">
        <x:v>https://www.historyexam.go.kr/atchFile/FileDown.do?atch_file_id=B_202310211224416911</x:v>
      </x:c>
      <x:c r="M44" s="16" t="str">
        <x:v>—</x:v>
      </x:c>
      <x:c r="N44" s="27" t="n">
        <x:v>0</x:v>
      </x:c>
      <x:c r="O44" s="16" t="str">
        <x:v>사용자 문제지 PDF</x:v>
      </x:c>
      <x:c r="P44" s="16" t="str">
        <x:v>67회 한국사_문제지(기본).pdf</x:v>
      </x:c>
      <x:c r="Q44" s="27" t="n">
        <x:v>3</x:v>
      </x:c>
    </x:row>
    <x:row r="45" ht="53.25" customHeight="1">
      <x:c r="A45" s="13" t="str">
        <x:v>official-68-advanced-04</x:v>
      </x:c>
      <x:c r="B45" s="28" t="n">
        <x:v>68</x:v>
      </x:c>
      <x:c r="C45" s="61" t="str">
        <x:v>심화</x:v>
      </x:c>
      <x:c r="D45" s="28" t="n">
        <x:v>4</x:v>
      </x:c>
      <x:c r="E45" s="28" t="n">
        <x:v>3</x:v>
      </x:c>
      <x:c r="F45" s="49" t="str">
        <x:v>선정</x:v>
      </x:c>
      <x:c r="G45" s="13" t="str">
        <x:v>백제 왕도 답사 계획에서 문화유산과 설명의 잘못된 연결을 찾는다</x:v>
      </x:c>
      <x:c r="H45" s="65" t="str">
        <x:v>부정형</x:v>
      </x:c>
      <x:c r="I45" s="13" t="str">
        <x:v>공산성·무령왕릉·부소산성·능산리 고분군·왕궁리 유적의 위치가 지도에 표시된다.</x:v>
      </x:c>
      <x:c r="J45" s="13" t="str">
        <x:v>③은 부소산성을 성왕의 전사 장소라고 연결해 틀렸다. 성왕이 전사한 곳은 관산성이며, 무령왕릉의 남조 영향과 능산리 고분군의 사신도 등 다른 연결은 옳다.</x:v>
      </x:c>
      <x:c r="K45" s="72" t="str">
        <x:v>https://www.historyexam.go.kr/atchFile/FileDown.do?atch_file_id=B_202312021231272410#page=1</x:v>
      </x:c>
      <x:c r="L45" s="72" t="str">
        <x:v>https://www.historyexam.go.kr/atchFile/FileDown.do?atch_file_id=B_202312021231274741</x:v>
      </x:c>
      <x:c r="M45" s="13" t="str">
        <x:v>C09-S03</x:v>
      </x:c>
      <x:c r="N45" s="28" t="n">
        <x:v>1</x:v>
      </x:c>
      <x:c r="O45" s="13" t="str">
        <x:v>사용자 문제지 PDF</x:v>
      </x:c>
      <x:c r="P45" s="13" t="str">
        <x:v>68회 한국사_문제지(심화).pdf</x:v>
      </x:c>
      <x:c r="Q45" s="28" t="n">
        <x:v>1</x:v>
      </x:c>
    </x:row>
    <x:row r="46" ht="53.25" customHeight="1">
      <x:c r="A46" s="16" t="str">
        <x:v>official-68-advanced-05</x:v>
      </x:c>
      <x:c r="B46" s="27" t="n">
        <x:v>68</x:v>
      </x:c>
      <x:c r="C46" s="60" t="str">
        <x:v>심화</x:v>
      </x:c>
      <x:c r="D46" s="27" t="n">
        <x:v>5</x:v>
      </x:c>
      <x:c r="E46" s="27" t="n">
        <x:v>2</x:v>
      </x:c>
      <x:c r="F46" s="49" t="str">
        <x:v>선정</x:v>
      </x:c>
      <x:c r="G46" s="16" t="str">
        <x:v>김춘추의 고구려 원병 요청과 당 방문 사이의 사건을 묻는다</x:v>
      </x:c>
      <x:c r="H46" s="16" t="str">
        <x:v>일반</x:v>
      </x:c>
      <x:c r="I46" s="16" t="str">
        <x:v>앞 자료는 대야성 패배 뒤 김춘추의 고구려 방문, 뒤 자료는 당 태종에게 군사 지원을 청한 기록이다.</x:v>
      </x:c>
      <x:c r="J46" s="16" t="str">
        <x:v>김춘추의 고구려 방문과 당 방문 사이에 안시성 전투가 일어났다. 따라서 안시성의 군사와 백성이 당군을 물리친 ②를 고른다.</x:v>
      </x:c>
      <x:c r="K46" s="71" t="str">
        <x:v>https://www.historyexam.go.kr/atchFile/FileDown.do?atch_file_id=B_202312021231272410#page=2</x:v>
      </x:c>
      <x:c r="L46" s="71" t="str">
        <x:v>https://www.historyexam.go.kr/atchFile/FileDown.do?atch_file_id=B_202312021231274741</x:v>
      </x:c>
      <x:c r="M46" s="16" t="str">
        <x:v>C13-S04</x:v>
      </x:c>
      <x:c r="N46" s="27" t="n">
        <x:v>4</x:v>
      </x:c>
      <x:c r="O46" s="16" t="str">
        <x:v>사용자 문제지 PDF</x:v>
      </x:c>
      <x:c r="P46" s="16" t="str">
        <x:v>68회 한국사_문제지(심화).pdf</x:v>
      </x:c>
      <x:c r="Q46" s="27" t="n">
        <x:v>2</x:v>
      </x:c>
    </x:row>
    <x:row r="47" ht="53.25" customHeight="1">
      <x:c r="A47" s="13" t="str">
        <x:v>official-68-advanced-06</x:v>
      </x:c>
      <x:c r="B47" s="28" t="n">
        <x:v>68</x:v>
      </x:c>
      <x:c r="C47" s="61" t="str">
        <x:v>심화</x:v>
      </x:c>
      <x:c r="D47" s="28" t="n">
        <x:v>6</x:v>
      </x:c>
      <x:c r="E47" s="28" t="n">
        <x:v>3</x:v>
      </x:c>
      <x:c r="F47" s="49" t="str">
        <x:v>선정</x:v>
      </x:c>
      <x:c r="G47" s="13" t="str">
        <x:v>최치원의 해인사 묘길상탑기를 단서로 진성여왕 시기의 사회 동요를 묻는다</x:v>
      </x:c>
      <x:c r="H47" s="13" t="str">
        <x:v>일반</x:v>
      </x:c>
      <x:c r="I47" s="13" t="str">
        <x:v>진성여왕 시기의 전란과 굶주림을 묘사한 글, 합천 해인사 길상탑과 탑기 탁본.</x:v>
      </x:c>
      <x:c r="J47" s="13" t="str">
        <x:v>자료는 진성여왕 때의 혼란을 묘사한다. 이 시기에 수취 부담에 저항한 원종과 애노가 사벌주에서 봉기했으므로 ③이 옳다.</x:v>
      </x:c>
      <x:c r="K47" s="72" t="str">
        <x:v>https://www.historyexam.go.kr/atchFile/FileDown.do?atch_file_id=B_202312021231272410#page=2</x:v>
      </x:c>
      <x:c r="L47" s="72" t="str">
        <x:v>https://www.historyexam.go.kr/atchFile/FileDown.do?atch_file_id=B_202312021231274741</x:v>
      </x:c>
      <x:c r="M47" s="13" t="str">
        <x:v>추가 후보만</x:v>
      </x:c>
      <x:c r="N47" s="28" t="n">
        <x:v>2</x:v>
      </x:c>
      <x:c r="O47" s="13" t="str">
        <x:v>사용자 문제지 PDF</x:v>
      </x:c>
      <x:c r="P47" s="13" t="str">
        <x:v>68회 한국사_문제지(심화).pdf</x:v>
      </x:c>
      <x:c r="Q47" s="28" t="n">
        <x:v>2</x:v>
      </x:c>
    </x:row>
    <x:row r="48" ht="42" customHeight="1">
      <x:c r="A48" s="16" t="str">
        <x:v>official-68-advanced-07</x:v>
      </x:c>
      <x:c r="B48" s="27" t="n">
        <x:v>68</x:v>
      </x:c>
      <x:c r="C48" s="60" t="str">
        <x:v>심화</x:v>
      </x:c>
      <x:c r="D48" s="27" t="n">
        <x:v>7</x:v>
      </x:c>
      <x:c r="E48" s="27" t="n">
        <x:v>4</x:v>
      </x:c>
      <x:c r="F48" s="39" t="str">
        <x:v>검토만</x:v>
      </x:c>
      <x:c r="G48" s="16" t="str">
        <x:v>김수로와 김해 봉황동 유적을 단서로 금관가야의 철 교역을 묻는다</x:v>
      </x:c>
      <x:c r="H48" s="16" t="str">
        <x:v>일반</x:v>
      </x:c>
      <x:c r="I48" s="16" t="str">
        <x:v>봉황대와 회현리 패총을 포함한 김해 봉황동 유적이 김수로의 건국 전승과 연결된다.</x:v>
      </x:c>
      <x:c r="J48" s="16" t="str">
        <x:v>김수로와 김해 봉황동 유적은 금관가야를 가리킨다. 가야의 풍부한 철 생산과 낙랑·왜에 대한 수출을 연결한 ④가 옳다.</x:v>
      </x:c>
      <x:c r="K48" s="71" t="str">
        <x:v>https://www.historyexam.go.kr/atchFile/FileDown.do?atch_file_id=B_202312021231272410#page=2</x:v>
      </x:c>
      <x:c r="L48" s="71" t="str">
        <x:v>https://www.historyexam.go.kr/atchFile/FileDown.do?atch_file_id=B_202312021231274741</x:v>
      </x:c>
      <x:c r="M48" s="16" t="str">
        <x:v>—</x:v>
      </x:c>
      <x:c r="N48" s="27" t="n">
        <x:v>0</x:v>
      </x:c>
      <x:c r="O48" s="16" t="str">
        <x:v>사용자 문제지 PDF</x:v>
      </x:c>
      <x:c r="P48" s="16" t="str">
        <x:v>68회 한국사_문제지(심화).pdf</x:v>
      </x:c>
      <x:c r="Q48" s="27" t="n">
        <x:v>2</x:v>
      </x:c>
    </x:row>
    <x:row r="49" ht="42" customHeight="1">
      <x:c r="A49" s="13" t="str">
        <x:v>official-68-advanced-08</x:v>
      </x:c>
      <x:c r="B49" s="28" t="n">
        <x:v>68</x:v>
      </x:c>
      <x:c r="C49" s="61" t="str">
        <x:v>심화</x:v>
      </x:c>
      <x:c r="D49" s="28" t="n">
        <x:v>8</x:v>
      </x:c>
      <x:c r="E49" s="28" t="n">
        <x:v>1</x:v>
      </x:c>
      <x:c r="F49" s="49" t="str">
        <x:v>선정</x:v>
      </x:c>
      <x:c r="G49" s="13" t="str">
        <x:v>전진의 순도가 불상과 경문을 전한 왕을 소수림왕으로 식별하고 태학을 연결한다</x:v>
      </x:c>
      <x:c r="H49" s="13" t="str">
        <x:v>일반</x:v>
      </x:c>
      <x:c r="I49" s="13" t="str">
        <x:v>고국원왕의 아들이며 이름이 구부인 왕에게 전진의 부견이 사신과 승려 순도를 보냈다.</x:v>
      </x:c>
      <x:c r="J49" s="13" t="str">
        <x:v>고국원왕의 아들 구부는 소수림왕이다. 소수림왕은 전진을 통해 불교를 받아들이고 태학을 세웠으므로 ①이 옳다.</x:v>
      </x:c>
      <x:c r="K49" s="72" t="str">
        <x:v>https://www.historyexam.go.kr/atchFile/FileDown.do?atch_file_id=B_202312021231272410#page=2</x:v>
      </x:c>
      <x:c r="L49" s="72" t="str">
        <x:v>https://www.historyexam.go.kr/atchFile/FileDown.do?atch_file_id=B_202312021231274741</x:v>
      </x:c>
      <x:c r="M49" s="13" t="str">
        <x:v>C03-S02</x:v>
      </x:c>
      <x:c r="N49" s="28" t="n">
        <x:v>3</x:v>
      </x:c>
      <x:c r="O49" s="13" t="str">
        <x:v>사용자 문제지 PDF</x:v>
      </x:c>
      <x:c r="P49" s="13" t="str">
        <x:v>68회 한국사_문제지(심화).pdf</x:v>
      </x:c>
      <x:c r="Q49" s="28" t="n">
        <x:v>2</x:v>
      </x:c>
    </x:row>
    <x:row r="50" ht="42" customHeight="1">
      <x:c r="A50" s="16" t="str">
        <x:v>official-68-advanced-10</x:v>
      </x:c>
      <x:c r="B50" s="27" t="n">
        <x:v>68</x:v>
      </x:c>
      <x:c r="C50" s="60" t="str">
        <x:v>심화</x:v>
      </x:c>
      <x:c r="D50" s="27" t="n">
        <x:v>10</x:v>
      </x:c>
      <x:c r="E50" s="27" t="n">
        <x:v>1</x:v>
      </x:c>
      <x:c r="F50" s="49" t="str">
        <x:v>선정</x:v>
      </x:c>
      <x:c r="G50" s="16" t="str">
        <x:v>영광탑을 단서로 발해의 불교 유물을 고르는 이미지 문항</x:v>
      </x:c>
      <x:c r="H50" s="16" t="str">
        <x:v>일반</x:v>
      </x:c>
      <x:c r="I50" s="16" t="str">
        <x:v>중국 지린성 창바이조선족자치현의 벽돌 누각식 영광탑이 소개된다.</x:v>
      </x:c>
      <x:c r="J50" s="16" t="str">
        <x:v>영광탑은 발해의 불교 문화를 보여 준다. 정답은 두 부처가 나란히 앉은 발해 이불병좌상 사진인 ①이다.</x:v>
      </x:c>
      <x:c r="K50" s="71" t="str">
        <x:v>https://www.historyexam.go.kr/atchFile/FileDown.do?atch_file_id=B_202312021231272410#page=3</x:v>
      </x:c>
      <x:c r="L50" s="71" t="str">
        <x:v>https://www.historyexam.go.kr/atchFile/FileDown.do?atch_file_id=B_202312021231274741</x:v>
      </x:c>
      <x:c r="M50" s="16" t="str">
        <x:v>추가 후보만</x:v>
      </x:c>
      <x:c r="N50" s="27" t="n">
        <x:v>1</x:v>
      </x:c>
      <x:c r="O50" s="16" t="str">
        <x:v>사용자 문제지 PDF</x:v>
      </x:c>
      <x:c r="P50" s="16" t="str">
        <x:v>68회 한국사_문제지(심화).pdf</x:v>
      </x:c>
      <x:c r="Q50" s="27" t="n">
        <x:v>3</x:v>
      </x:c>
    </x:row>
    <x:row r="51" ht="53.25" customHeight="1">
      <x:c r="A51" s="13" t="str">
        <x:v>official-68-advanced-48</x:v>
      </x:c>
      <x:c r="B51" s="28" t="n">
        <x:v>68</x:v>
      </x:c>
      <x:c r="C51" s="61" t="str">
        <x:v>심화</x:v>
      </x:c>
      <x:c r="D51" s="28" t="n">
        <x:v>48</x:v>
      </x:c>
      <x:c r="E51" s="28" t="n">
        <x:v>3</x:v>
      </x:c>
      <x:c r="F51" s="39" t="str">
        <x:v>검토만</x:v>
      </x:c>
      <x:c r="G51" s="13" t="str">
        <x:v>백제 구구단 목간을 출발점으로 삼국 시대의 학습 활동을 고른다</x:v>
      </x:c>
      <x:c r="H51" s="13" t="str">
        <x:v>일반</x:v>
      </x:c>
      <x:c r="I51" s="13" t="str">
        <x:v>부여 쌍북리 구구단 목간 사진과 숫자 해석을 제시하고 삼국 시대의 다른 학습 사례를 질문한다.</x:v>
      </x:c>
      <x:c r="J51" s="13" t="str">
        <x:v>삼국 시대의 학습 사례를 묻고 있으므로 고구려 경당의 독서와 활쏘기를 고르는 ③이 옳다. 정혜공주 묘지는 발해 자료여서 이 문항의 삼국 시대 조건과 구별해야 한다.</x:v>
      </x:c>
      <x:c r="K51" s="72" t="str">
        <x:v>https://www.historyexam.go.kr/atchFile/FileDown.do?atch_file_id=B_202312021231272410#page=12</x:v>
      </x:c>
      <x:c r="L51" s="72" t="str">
        <x:v>https://www.historyexam.go.kr/atchFile/FileDown.do?atch_file_id=B_202312021231274741</x:v>
      </x:c>
      <x:c r="M51" s="13" t="str">
        <x:v>—</x:v>
      </x:c>
      <x:c r="N51" s="28" t="n">
        <x:v>0</x:v>
      </x:c>
      <x:c r="O51" s="13" t="str">
        <x:v>사용자 문제지 PDF</x:v>
      </x:c>
      <x:c r="P51" s="13" t="str">
        <x:v>68회 한국사_문제지(심화).pdf</x:v>
      </x:c>
      <x:c r="Q51" s="28" t="n">
        <x:v>12</x:v>
      </x:c>
    </x:row>
    <x:row r="52" ht="67.5" customHeight="1">
      <x:c r="A52" s="16" t="str">
        <x:v>official-69-basic-03</x:v>
      </x:c>
      <x:c r="B52" s="27" t="n">
        <x:v>69</x:v>
      </x:c>
      <x:c r="C52" s="60" t="str">
        <x:v>기본</x:v>
      </x:c>
      <x:c r="D52" s="27" t="n">
        <x:v>3</x:v>
      </x:c>
      <x:c r="E52" s="27" t="n">
        <x:v>4</x:v>
      </x:c>
      <x:c r="F52" s="49" t="str">
        <x:v>선정</x:v>
      </x:c>
      <x:c r="G52" s="16" t="str">
        <x:v>가야 문화유산 특별전에서 전시할 유물을 사진에서 고른다</x:v>
      </x:c>
      <x:c r="H52" s="16" t="str">
        <x:v>일반</x:v>
      </x:c>
      <x:c r="I52" s="16" t="str">
        <x:v>전시 제목이 철의 왕국 가야이며 가야 고분군의 세계유산 등재 기념전이라고 명시되어 있다.</x:v>
      </x:c>
      <x:c r="J52" s="16" t="str">
        <x:v>가야는 철 생산과 가공이 발달했고 철제 갑옷을 남겼다. 따라서 가야 특별전에 적합한 유물은 ④ 철제 판갑옷이다. 호우명 그릇·성덕 대왕 신종·칠지도를 가야 유물로 묶어서는 안 된다.</x:v>
      </x:c>
      <x:c r="K52" s="71" t="str">
        <x:v>https://www.historyexam.go.kr/atchFile/FileDown.do?atch_file_id=B_202402171205245550#page=1</x:v>
      </x:c>
      <x:c r="L52" s="71" t="str">
        <x:v>https://www.historyexam.go.kr/atchFile/FileDown.do?atch_file_id=B_202402171205249941</x:v>
      </x:c>
      <x:c r="M52" s="16" t="str">
        <x:v>C14-S07</x:v>
      </x:c>
      <x:c r="N52" s="27" t="n">
        <x:v>2</x:v>
      </x:c>
      <x:c r="O52" s="16" t="str">
        <x:v>사용자 문제지 PDF</x:v>
      </x:c>
      <x:c r="P52" s="16" t="str">
        <x:v>69회 한국사 문제지(기본).pdf</x:v>
      </x:c>
      <x:c r="Q52" s="27" t="n">
        <x:v>1</x:v>
      </x:c>
    </x:row>
    <x:row r="53" ht="81.75" customHeight="1">
      <x:c r="A53" s="13" t="str">
        <x:v>official-69-basic-04</x:v>
      </x:c>
      <x:c r="B53" s="28" t="n">
        <x:v>69</x:v>
      </x:c>
      <x:c r="C53" s="61" t="str">
        <x:v>기본</x:v>
      </x:c>
      <x:c r="D53" s="28" t="n">
        <x:v>4</x:v>
      </x:c>
      <x:c r="E53" s="28" t="n">
        <x:v>1</x:v>
      </x:c>
      <x:c r="F53" s="49" t="str">
        <x:v>선정</x:v>
      </x:c>
      <x:c r="G53" s="13" t="str">
        <x:v>병부 설치·율령 반포·불교 수용 기사가 나온 신라 왕을 고른다</x:v>
      </x:c>
      <x:c r="H53" s="13" t="str">
        <x:v>일반</x:v>
      </x:c>
      <x:c r="I53" s="13" t="str">
        <x:v>삼국사기 신라본기 검색 결과에 재위 4년 병부 설치, 7년 율령과 관등 위계 제정, 15년 불교가 널리 퍼졌다는 기사가 제시된다.</x:v>
      </x:c>
      <x:c r="J53" s="13" t="str">
        <x:v>병부를 설치하고 율령을 반포하며 불교를 공인한 신라 왕은 법흥왕이다. 제시된 재위 연차의 기사들이 같은 왕을 가리키므로 ①이 정답이다. 불교 공인의 연도 표기에는 사료상 527·528년 차이가 있으므로 이 문항의 요점을 특정 연도 암기로 바꾸지 않는다.</x:v>
      </x:c>
      <x:c r="K53" s="72" t="str">
        <x:v>https://www.historyexam.go.kr/atchFile/FileDown.do?atch_file_id=B_202402171205245550#page=1</x:v>
      </x:c>
      <x:c r="L53" s="72" t="str">
        <x:v>https://www.historyexam.go.kr/atchFile/FileDown.do?atch_file_id=B_202402171205249941</x:v>
      </x:c>
      <x:c r="M53" s="13" t="str">
        <x:v>C11-S07</x:v>
      </x:c>
      <x:c r="N53" s="28" t="n">
        <x:v>4</x:v>
      </x:c>
      <x:c r="O53" s="13" t="str">
        <x:v>사용자 문제지 PDF</x:v>
      </x:c>
      <x:c r="P53" s="13" t="str">
        <x:v>69회 한국사 문제지(기본).pdf</x:v>
      </x:c>
      <x:c r="Q53" s="28" t="n">
        <x:v>1</x:v>
      </x:c>
    </x:row>
    <x:row r="54" ht="53.25" customHeight="1">
      <x:c r="A54" s="16" t="str">
        <x:v>official-69-basic-05</x:v>
      </x:c>
      <x:c r="B54" s="27" t="n">
        <x:v>69</x:v>
      </x:c>
      <x:c r="C54" s="60" t="str">
        <x:v>기본</x:v>
      </x:c>
      <x:c r="D54" s="27" t="n">
        <x:v>5</x:v>
      </x:c>
      <x:c r="E54" s="27" t="n">
        <x:v>2</x:v>
      </x:c>
      <x:c r="F54" s="39" t="str">
        <x:v>검토만</x:v>
      </x:c>
      <x:c r="G54" s="16" t="str">
        <x:v>성왕이 수도로 삼은 부여의 유적을 남긴 국가의 제도를 고른다</x:v>
      </x:c>
      <x:c r="H54" s="16" t="str">
        <x:v>일반</x:v>
      </x:c>
      <x:c r="I54" s="16" t="str">
        <x:v>사비 시기 역사를 주제로 부여 나성·부소산성·관북리 유적·정림사지를 답사한다는 계획서.</x:v>
      </x:c>
      <x:c r="J54" s="16" t="str">
        <x:v>성왕이 사비로 수도를 옮긴 나라는 백제이다. 백제는 지방에 22담로를 두었으므로 국가의 특징을 묻는 정답은 ②이다. 22담로를 성왕이 처음 설치했다고 읽지 않도록 주의한다.</x:v>
      </x:c>
      <x:c r="K54" s="71" t="str">
        <x:v>https://www.historyexam.go.kr/atchFile/FileDown.do?atch_file_id=B_202402171205245550#page=2</x:v>
      </x:c>
      <x:c r="L54" s="71" t="str">
        <x:v>https://www.historyexam.go.kr/atchFile/FileDown.do?atch_file_id=B_202402171205249941</x:v>
      </x:c>
      <x:c r="M54" s="16" t="str">
        <x:v>—</x:v>
      </x:c>
      <x:c r="N54" s="27" t="n">
        <x:v>0</x:v>
      </x:c>
      <x:c r="O54" s="16" t="str">
        <x:v>사용자 문제지 PDF</x:v>
      </x:c>
      <x:c r="P54" s="16" t="str">
        <x:v>69회 한국사 문제지(기본).pdf</x:v>
      </x:c>
      <x:c r="Q54" s="27" t="n">
        <x:v>2</x:v>
      </x:c>
    </x:row>
    <x:row r="55" ht="67.5" customHeight="1">
      <x:c r="A55" s="13" t="str">
        <x:v>official-69-basic-06</x:v>
      </x:c>
      <x:c r="B55" s="28" t="n">
        <x:v>69</x:v>
      </x:c>
      <x:c r="C55" s="61" t="str">
        <x:v>기본</x:v>
      </x:c>
      <x:c r="D55" s="28" t="n">
        <x:v>6</x:v>
      </x:c>
      <x:c r="E55" s="28" t="n">
        <x:v>1</x:v>
      </x:c>
      <x:c r="F55" s="49" t="str">
        <x:v>선정</x:v>
      </x:c>
      <x:c r="G55" s="13" t="str">
        <x:v>고구려가 외세의 침략을 막아낸 사례로 옳은 학생의 대답을 고른다</x:v>
      </x:c>
      <x:c r="H55" s="13" t="str">
        <x:v>일반</x:v>
      </x:c>
      <x:c r="I55" s="13" t="str">
        <x:v>교사가 고구려의 대외 항쟁 사례를 묻고, 네 학생이 살수·황산벌·황산·일리천의 전투를 각각 말한다.</x:v>
      </x:c>
      <x:c r="J55" s="13" t="str">
        <x:v>을지문덕이 살수에서 수의 군대를 물리친 것은 고구려의 대외 항쟁이다. 따라서 ①이 옳다. 황산벌은 백제와 신라, 황산은 고려 말 이성계의 왜구 격퇴, 일리천은 왕건의 후삼국 통일 과정과 관련된다.</x:v>
      </x:c>
      <x:c r="K55" s="72" t="str">
        <x:v>https://www.historyexam.go.kr/atchFile/FileDown.do?atch_file_id=B_202402171205245550#page=2</x:v>
      </x:c>
      <x:c r="L55" s="72" t="str">
        <x:v>https://www.historyexam.go.kr/atchFile/FileDown.do?atch_file_id=B_202402171205249941</x:v>
      </x:c>
      <x:c r="M55" s="13" t="str">
        <x:v>C05-S03</x:v>
      </x:c>
      <x:c r="N55" s="28" t="n">
        <x:v>4</x:v>
      </x:c>
      <x:c r="O55" s="13" t="str">
        <x:v>사용자 문제지 PDF</x:v>
      </x:c>
      <x:c r="P55" s="13" t="str">
        <x:v>69회 한국사 문제지(기본).pdf</x:v>
      </x:c>
      <x:c r="Q55" s="28" t="n">
        <x:v>2</x:v>
      </x:c>
    </x:row>
    <x:row r="56" ht="67.5" customHeight="1">
      <x:c r="A56" s="16" t="str">
        <x:v>official-69-basic-07</x:v>
      </x:c>
      <x:c r="B56" s="27" t="n">
        <x:v>69</x:v>
      </x:c>
      <x:c r="C56" s="60" t="str">
        <x:v>기본</x:v>
      </x:c>
      <x:c r="D56" s="27" t="n">
        <x:v>7</x:v>
      </x:c>
      <x:c r="E56" s="27" t="n">
        <x:v>4</x:v>
      </x:c>
      <x:c r="F56" s="49" t="str">
        <x:v>선정</x:v>
      </x:c>
      <x:c r="G56" s="16" t="str">
        <x:v>대승기신론소와 일심 사상을 설명하는 승려의 활동을 고른다</x:v>
      </x:c>
      <x:c r="H56" s="16" t="str">
        <x:v>일반</x:v>
      </x:c>
      <x:c r="I56" s="16" t="str">
        <x:v>대승기신론소·일심 사상·나무아미타불·십문화쟁론이라는 단서가 제시된다.</x:v>
      </x:c>
      <x:c r="J56" s="16" t="str">
        <x:v>대승기신론소와 십문화쟁론, 일심 사상의 단서가 가리키는 승려는 원효이다. 원효는 무애가 등을 통해 불교를 대중에게 전하려 했으므로 ④가 옳다. 수선사 결사는 고려의 지눌과 관련된다.</x:v>
      </x:c>
      <x:c r="K56" s="71" t="str">
        <x:v>https://www.historyexam.go.kr/atchFile/FileDown.do?atch_file_id=B_202402171205245550#page=2</x:v>
      </x:c>
      <x:c r="L56" s="71" t="str">
        <x:v>https://www.historyexam.go.kr/atchFile/FileDown.do?atch_file_id=B_202402171205249941</x:v>
      </x:c>
      <x:c r="M56" s="16" t="str">
        <x:v>추가 후보만</x:v>
      </x:c>
      <x:c r="N56" s="27" t="n">
        <x:v>1</x:v>
      </x:c>
      <x:c r="O56" s="16" t="str">
        <x:v>사용자 문제지 PDF</x:v>
      </x:c>
      <x:c r="P56" s="16" t="str">
        <x:v>69회 한국사 문제지(기본).pdf</x:v>
      </x:c>
      <x:c r="Q56" s="27" t="n">
        <x:v>2</x:v>
      </x:c>
    </x:row>
    <x:row r="57" ht="67.5" customHeight="1">
      <x:c r="A57" s="13" t="str">
        <x:v>official-69-basic-08</x:v>
      </x:c>
      <x:c r="B57" s="28" t="n">
        <x:v>69</x:v>
      </x:c>
      <x:c r="C57" s="61" t="str">
        <x:v>기본</x:v>
      </x:c>
      <x:c r="D57" s="28" t="n">
        <x:v>8</x:v>
      </x:c>
      <x:c r="E57" s="28" t="n">
        <x:v>3</x:v>
      </x:c>
      <x:c r="F57" s="49" t="str">
        <x:v>선정</x:v>
      </x:c>
      <x:c r="G57" s="13" t="str">
        <x:v>정효 공주 묘지와 상경성 이불병좌상을 남긴 국가의 특징을 고른다</x:v>
      </x:c>
      <x:c r="H57" s="13" t="str">
        <x:v>일반</x:v>
      </x:c>
      <x:c r="I57" s="13" t="str">
        <x:v>정효 공주 묘지에서 문왕의 연호 대흥을 확인할 수 있고, 상경성에서 석가불과 다보불이 함께 앉은 이불병좌상이 출토되었다고 설명한다.</x:v>
      </x:c>
      <x:c r="J57" s="13" t="str">
        <x:v>문왕·대흥·정효 공주 묘지·상경성은 발해를 가리키는 단서이다. 발해는 해동성국이라고 불렸으므로 ③이 정답이다. 자료에 문왕이 나온다고 해서 해동성국이라는 평가를 문왕 개인의 연호나 정책으로 바꾸지 않는다.</x:v>
      </x:c>
      <x:c r="K57" s="72" t="str">
        <x:v>https://www.historyexam.go.kr/atchFile/FileDown.do?atch_file_id=B_202402171205245550#page=2</x:v>
      </x:c>
      <x:c r="L57" s="72" t="str">
        <x:v>https://www.historyexam.go.kr/atchFile/FileDown.do?atch_file_id=B_202402171205249941</x:v>
      </x:c>
      <x:c r="M57" s="13" t="str">
        <x:v>추가 후보만</x:v>
      </x:c>
      <x:c r="N57" s="28" t="n">
        <x:v>2</x:v>
      </x:c>
      <x:c r="O57" s="13" t="str">
        <x:v>사용자 문제지 PDF</x:v>
      </x:c>
      <x:c r="P57" s="13" t="str">
        <x:v>69회 한국사 문제지(기본).pdf</x:v>
      </x:c>
      <x:c r="Q57" s="28" t="n">
        <x:v>2</x:v>
      </x:c>
    </x:row>
    <x:row r="58" ht="53.25" customHeight="1">
      <x:c r="A58" s="16" t="str">
        <x:v>official-69-basic-09</x:v>
      </x:c>
      <x:c r="B58" s="27" t="n">
        <x:v>69</x:v>
      </x:c>
      <x:c r="C58" s="60" t="str">
        <x:v>기본</x:v>
      </x:c>
      <x:c r="D58" s="27" t="n">
        <x:v>9</x:v>
      </x:c>
      <x:c r="E58" s="27" t="n">
        <x:v>4</x:v>
      </x:c>
      <x:c r="F58" s="49" t="str">
        <x:v>선정</x:v>
      </x:c>
      <x:c r="G58" s="16" t="str">
        <x:v>혜공왕 피살 이후 신라 말 사회에서 볼 수 있는 인물을 고른다</x:v>
      </x:c>
      <x:c r="H58" s="16" t="str">
        <x:v>일반</x:v>
      </x:c>
      <x:c r="I58" s="16" t="str">
        <x:v>지도에 김헌창의 난, 장보고의 난, 원종과 애노의 난, 적고적의 금성 약탈이 표시되고 왕위 쟁탈전과 수탈 저항을 설명한다.</x:v>
      </x:c>
      <x:c r="J58" s="16" t="str">
        <x:v>왕위 쟁탈과 지방 반란이 이어진 신라 말에는 지방 세력인 호족이 성장하여 성주나 장군을 자칭하였다. 따라서 ④가 옳다. 장용영·의정부는 조선, 별무반은 고려의 조직이다.</x:v>
      </x:c>
      <x:c r="K58" s="71" t="str">
        <x:v>https://www.historyexam.go.kr/atchFile/FileDown.do?atch_file_id=B_202402171205245550#page=3</x:v>
      </x:c>
      <x:c r="L58" s="71" t="str">
        <x:v>https://www.historyexam.go.kr/atchFile/FileDown.do?atch_file_id=B_202402171205249941</x:v>
      </x:c>
      <x:c r="M58" s="16" t="str">
        <x:v>추가 후보만</x:v>
      </x:c>
      <x:c r="N58" s="27" t="n">
        <x:v>1</x:v>
      </x:c>
      <x:c r="O58" s="16" t="str">
        <x:v>사용자 문제지 PDF</x:v>
      </x:c>
      <x:c r="P58" s="16" t="str">
        <x:v>69회 한국사 문제지(기본).pdf</x:v>
      </x:c>
      <x:c r="Q58" s="27" t="n">
        <x:v>3</x:v>
      </x:c>
    </x:row>
    <x:row r="59" ht="53.25" customHeight="1">
      <x:c r="A59" s="13" t="str">
        <x:v>official-69-basic-10</x:v>
      </x:c>
      <x:c r="B59" s="28" t="n">
        <x:v>69</x:v>
      </x:c>
      <x:c r="C59" s="61" t="str">
        <x:v>기본</x:v>
      </x:c>
      <x:c r="D59" s="28" t="n">
        <x:v>10</x:v>
      </x:c>
      <x:c r="E59" s="28" t="n">
        <x:v>3</x:v>
      </x:c>
      <x:c r="F59" s="49" t="str">
        <x:v>선정</x:v>
      </x:c>
      <x:c r="G59" s="13" t="str">
        <x:v>송악에서 철원으로 수도를 옮긴 인물의 활동을 고른다</x:v>
      </x:c>
      <x:c r="H59" s="13" t="str">
        <x:v>일반</x:v>
      </x:c>
      <x:c r="I59" s="13" t="str">
        <x:v>광평성 등 관서를 새로 설치한 인물이 송악에서 철원으로 수도를 옮긴다고 발표했다는 가상 뉴스.</x:v>
      </x:c>
      <x:c r="J59" s="13" t="str">
        <x:v>송악에서 철원으로 수도를 옮기고 광평성 등 관서를 정비한 인물은 궁예이다. 궁예는 국호를 후고구려에서 마진, 다시 태봉으로 바꾸었으므로 ③이 옳다.</x:v>
      </x:c>
      <x:c r="K59" s="72" t="str">
        <x:v>https://www.historyexam.go.kr/atchFile/FileDown.do?atch_file_id=B_202402171205245550#page=3</x:v>
      </x:c>
      <x:c r="L59" s="72" t="str">
        <x:v>https://www.historyexam.go.kr/atchFile/FileDown.do?atch_file_id=B_202402171205249941</x:v>
      </x:c>
      <x:c r="M59" s="13" t="str">
        <x:v>C23-S05</x:v>
      </x:c>
      <x:c r="N59" s="28" t="n">
        <x:v>4</x:v>
      </x:c>
      <x:c r="O59" s="13" t="str">
        <x:v>사용자 문제지 PDF</x:v>
      </x:c>
      <x:c r="P59" s="13" t="str">
        <x:v>69회 한국사 문제지(기본).pdf</x:v>
      </x:c>
      <x:c r="Q59" s="28" t="n">
        <x:v>3</x:v>
      </x:c>
    </x:row>
    <x:row r="60" ht="67.5" customHeight="1">
      <x:c r="A60" s="16" t="str">
        <x:v>official-69-basic-48</x:v>
      </x:c>
      <x:c r="B60" s="27" t="n">
        <x:v>69</x:v>
      </x:c>
      <x:c r="C60" s="60" t="str">
        <x:v>기본</x:v>
      </x:c>
      <x:c r="D60" s="27" t="n">
        <x:v>48</x:v>
      </x:c>
      <x:c r="E60" s="27" t="n">
        <x:v>1</x:v>
      </x:c>
      <x:c r="F60" s="49" t="str">
        <x:v>선정</x:v>
      </x:c>
      <x:c r="G60" s="16" t="str">
        <x:v>최치원·정몽주·정약용·박은식의 이름과 활동을 바르게 연결한다</x:v>
      </x:c>
      <x:c r="H60" s="16" t="str">
        <x:v>일반</x:v>
      </x:c>
      <x:c r="I60" s="16" t="str">
        <x:v>유학자의 삶과 사상을 다루는 네 강좌에서 (가)는 최치원, (나)는 정몽주, (다)는 정약용, (라)는 박은식으로 제시된다.</x:v>
      </x:c>
      <x:c r="J60" s="16" t="str">
        <x:v>신라 말의 최치원은 진성여왕에게 시무 10여 조를 올려 개혁을 건의하였다. 따라서 최치원과 시무 10여 조를 연결한 ①이 옳다. 다른 인물의 활동과 섞인 연결을 그대로 사실로 받아들이지 않는다.</x:v>
      </x:c>
      <x:c r="K60" s="71" t="str">
        <x:v>https://www.historyexam.go.kr/atchFile/FileDown.do?atch_file_id=B_202402171205245550#page=12</x:v>
      </x:c>
      <x:c r="L60" s="71" t="str">
        <x:v>https://www.historyexam.go.kr/atchFile/FileDown.do?atch_file_id=B_202402171205249941</x:v>
      </x:c>
      <x:c r="M60" s="16" t="str">
        <x:v>추가 후보만</x:v>
      </x:c>
      <x:c r="N60" s="27" t="n">
        <x:v>1</x:v>
      </x:c>
      <x:c r="O60" s="16" t="str">
        <x:v>사용자 문제지 PDF</x:v>
      </x:c>
      <x:c r="P60" s="16" t="str">
        <x:v>69회 한국사 문제지(기본).pdf</x:v>
      </x:c>
      <x:c r="Q60" s="27" t="n">
        <x:v>12</x:v>
      </x:c>
    </x:row>
    <x:row r="61" ht="53.25" customHeight="1">
      <x:c r="A61" s="13" t="str">
        <x:v>official-70-advanced-03</x:v>
      </x:c>
      <x:c r="B61" s="28" t="n">
        <x:v>70</x:v>
      </x:c>
      <x:c r="C61" s="61" t="str">
        <x:v>심화</x:v>
      </x:c>
      <x:c r="D61" s="28" t="n">
        <x:v>3</x:v>
      </x:c>
      <x:c r="E61" s="28" t="n">
        <x:v>2</x:v>
      </x:c>
      <x:c r="F61" s="49" t="str">
        <x:v>선정</x:v>
      </x:c>
      <x:c r="G61" s="13" t="str">
        <x:v>고구려의 한성 함락과 개로왕의 죽음 뒤 백제가 취한 대응을 묻는다</x:v>
      </x:c>
      <x:c r="H61" s="13" t="str">
        <x:v>일반</x:v>
      </x:c>
      <x:c r="I61" s="13" t="str">
        <x:v>개로왕이 문주에게 나라의 계통을 이으라고 말하고, 고구려군에 붙잡혀 죽는 사료.</x:v>
      </x:c>
      <x:c r="J61" s="13" t="str">
        <x:v>자료는 한성이 함락되고 개로왕이 죽은 사건이다. 이후 웅진으로 옮겨 나라를 수습한 백제는 동성왕 때 신라와의 동맹을 강화했으므로 ②가 옳다.</x:v>
      </x:c>
      <x:c r="K61" s="72" t="str">
        <x:v>https://www.historyexam.go.kr/atchFile/FileDown.do?atch_file_id=B_202405251204104430#page=1</x:v>
      </x:c>
      <x:c r="L61" s="72" t="str">
        <x:v>https://www.historyexam.go.kr/atchFile/FileDown.do?atch_file_id=B_202405251205112771</x:v>
      </x:c>
      <x:c r="M61" s="13" t="str">
        <x:v>C07-S08</x:v>
      </x:c>
      <x:c r="N61" s="28" t="n">
        <x:v>6</x:v>
      </x:c>
      <x:c r="O61" s="13" t="str">
        <x:v>사용자 문제지 PDF</x:v>
      </x:c>
      <x:c r="P61" s="13" t="str">
        <x:v>70회 한국사_문제지(심화).pdf</x:v>
      </x:c>
      <x:c r="Q61" s="28" t="n">
        <x:v>1</x:v>
      </x:c>
    </x:row>
    <x:row r="62" ht="53.25" customHeight="1">
      <x:c r="A62" s="16" t="str">
        <x:v>official-70-advanced-04</x:v>
      </x:c>
      <x:c r="B62" s="27" t="n">
        <x:v>70</x:v>
      </x:c>
      <x:c r="C62" s="60" t="str">
        <x:v>심화</x:v>
      </x:c>
      <x:c r="D62" s="27" t="n">
        <x:v>4</x:v>
      </x:c>
      <x:c r="E62" s="27" t="n">
        <x:v>1</x:v>
      </x:c>
      <x:c r="F62" s="49" t="str">
        <x:v>선정</x:v>
      </x:c>
      <x:c r="G62" s="16" t="str">
        <x:v>율령·태학·전진 교류를 묶어 소수림왕의 불교 수용을 묻는다</x:v>
      </x:c>
      <x:c r="H62" s="16" t="str">
        <x:v>일반</x:v>
      </x:c>
      <x:c r="I62" s="16" t="str">
        <x:v>고구려 제17대 왕, 율령 반포, 전진과의 외교, 태학 설립이라는 세 칸의 자료.</x:v>
      </x:c>
      <x:c r="J62" s="16" t="str">
        <x:v>율령과 태학을 정비하고 전진과 교류한 왕은 소수림왕이다. 순도를 통한 불교 수용 역시 그의 재위 때 이루어져 ①이 옳다.</x:v>
      </x:c>
      <x:c r="K62" s="71" t="str">
        <x:v>https://www.historyexam.go.kr/atchFile/FileDown.do?atch_file_id=B_202405251204104430#page=1</x:v>
      </x:c>
      <x:c r="L62" s="71" t="str">
        <x:v>https://www.historyexam.go.kr/atchFile/FileDown.do?atch_file_id=B_202405251205112771</x:v>
      </x:c>
      <x:c r="M62" s="16" t="str">
        <x:v>추가 후보만</x:v>
      </x:c>
      <x:c r="N62" s="27" t="n">
        <x:v>2</x:v>
      </x:c>
      <x:c r="O62" s="16" t="str">
        <x:v>사용자 문제지 PDF</x:v>
      </x:c>
      <x:c r="P62" s="16" t="str">
        <x:v>70회 한국사_문제지(심화).pdf</x:v>
      </x:c>
      <x:c r="Q62" s="27" t="n">
        <x:v>1</x:v>
      </x:c>
    </x:row>
    <x:row r="63" ht="53.25" customHeight="1">
      <x:c r="A63" s="13" t="str">
        <x:v>official-70-advanced-05</x:v>
      </x:c>
      <x:c r="B63" s="28" t="n">
        <x:v>70</x:v>
      </x:c>
      <x:c r="C63" s="61" t="str">
        <x:v>심화</x:v>
      </x:c>
      <x:c r="D63" s="28" t="n">
        <x:v>5</x:v>
      </x:c>
      <x:c r="E63" s="28" t="n">
        <x:v>2</x:v>
      </x:c>
      <x:c r="F63" s="39" t="str">
        <x:v>검토만</x:v>
      </x:c>
      <x:c r="G63" s="13" t="str">
        <x:v>고구려 사신도와 백제 산수무늬 벽돌을 도교와 연결한다</x:v>
      </x:c>
      <x:c r="H63" s="13" t="str">
        <x:v>일반</x:v>
      </x:c>
      <x:c r="I63" s="13" t="str">
        <x:v>강서대묘 현무도와 백제 산수무늬 벽돌 사진, 신선 사상과 불로장생에 대한 설명.</x:v>
      </x:c>
      <x:c r="J63" s="13" t="str">
        <x:v>신선과 불로장생을 추구하는 종교는 도교이다. 사신도와 산수무늬 벽돌을 도교와 연결하고 연개소문의 당 도사 요청을 고르는 ②가 옳다.</x:v>
      </x:c>
      <x:c r="K63" s="72" t="str">
        <x:v>https://www.historyexam.go.kr/atchFile/FileDown.do?atch_file_id=B_202405251204104430#page=2</x:v>
      </x:c>
      <x:c r="L63" s="72" t="str">
        <x:v>https://www.historyexam.go.kr/atchFile/FileDown.do?atch_file_id=B_202405251205112771</x:v>
      </x:c>
      <x:c r="M63" s="13" t="str">
        <x:v>—</x:v>
      </x:c>
      <x:c r="N63" s="28" t="n">
        <x:v>0</x:v>
      </x:c>
      <x:c r="O63" s="13" t="str">
        <x:v>사용자 문제지 PDF</x:v>
      </x:c>
      <x:c r="P63" s="13" t="str">
        <x:v>70회 한국사_문제지(심화).pdf</x:v>
      </x:c>
      <x:c r="Q63" s="28" t="n">
        <x:v>2</x:v>
      </x:c>
    </x:row>
    <x:row r="64" ht="42" customHeight="1">
      <x:c r="A64" s="16" t="str">
        <x:v>official-70-advanced-06</x:v>
      </x:c>
      <x:c r="B64" s="27" t="n">
        <x:v>70</x:v>
      </x:c>
      <x:c r="C64" s="60" t="str">
        <x:v>심화</x:v>
      </x:c>
      <x:c r="D64" s="27" t="n">
        <x:v>6</x:v>
      </x:c>
      <x:c r="E64" s="27" t="n">
        <x:v>3</x:v>
      </x:c>
      <x:c r="F64" s="39" t="str">
        <x:v>검토만</x:v>
      </x:c>
      <x:c r="G64" s="16" t="str">
        <x:v>일심·화쟁 사상과 저술을 단서로 원효의 불교 대중화를 묻는다</x:v>
      </x:c>
      <x:c r="H64" s="16" t="str">
        <x:v>일반</x:v>
      </x:c>
      <x:c r="I64" s="16" t="str">
        <x:v>금강삼매경론·대승기신론소와 일심·화쟁 사상이 선거 포스터 형식으로 제시된다.</x:v>
      </x:c>
      <x:c r="J64" s="16" t="str">
        <x:v>일심과 화쟁을 주장하고 금강삼매경론 등을 남긴 승려는 원효이다. 무애가를 통해 불교를 널리 알린 ③이 그의 활동이다.</x:v>
      </x:c>
      <x:c r="K64" s="71" t="str">
        <x:v>https://www.historyexam.go.kr/atchFile/FileDown.do?atch_file_id=B_202405251204104430#page=2</x:v>
      </x:c>
      <x:c r="L64" s="71" t="str">
        <x:v>https://www.historyexam.go.kr/atchFile/FileDown.do?atch_file_id=B_202405251205112771</x:v>
      </x:c>
      <x:c r="M64" s="16" t="str">
        <x:v>—</x:v>
      </x:c>
      <x:c r="N64" s="27" t="n">
        <x:v>0</x:v>
      </x:c>
      <x:c r="O64" s="16" t="str">
        <x:v>사용자 문제지 PDF</x:v>
      </x:c>
      <x:c r="P64" s="16" t="str">
        <x:v>70회 한국사_문제지(심화).pdf</x:v>
      </x:c>
      <x:c r="Q64" s="27" t="n">
        <x:v>2</x:v>
      </x:c>
    </x:row>
    <x:row r="65" ht="42" customHeight="1">
      <x:c r="A65" s="13" t="str">
        <x:v>official-70-advanced-07</x:v>
      </x:c>
      <x:c r="B65" s="28" t="n">
        <x:v>70</x:v>
      </x:c>
      <x:c r="C65" s="61" t="str">
        <x:v>심화</x:v>
      </x:c>
      <x:c r="D65" s="28" t="n">
        <x:v>7</x:v>
      </x:c>
      <x:c r="E65" s="28" t="n">
        <x:v>4</x:v>
      </x:c>
      <x:c r="F65" s="49" t="str">
        <x:v>선정</x:v>
      </x:c>
      <x:c r="G65" s="13" t="str">
        <x:v>고구려 옛 장수 대조영이 세운 발해의 지방 제도를 묻는다</x:v>
      </x:c>
      <x:c r="H65" s="13" t="str">
        <x:v>일반</x:v>
      </x:c>
      <x:c r="I65" s="13" t="str">
        <x:v>신라고기와 지장도 기록을 인용해 대씨 성의 대조영과 발해의 위치를 설명한다.</x:v>
      </x:c>
      <x:c r="J65" s="13" t="str">
        <x:v>고구려 옛 장수 대조영이 세운 나라는 발해이다. 발해의 지방 행정 조직인 5경 15부 62주를 고르는 ④가 옳다.</x:v>
      </x:c>
      <x:c r="K65" s="72" t="str">
        <x:v>https://www.historyexam.go.kr/atchFile/FileDown.do?atch_file_id=B_202405251204104430#page=2</x:v>
      </x:c>
      <x:c r="L65" s="72" t="str">
        <x:v>https://www.historyexam.go.kr/atchFile/FileDown.do?atch_file_id=B_202405251205112771</x:v>
      </x:c>
      <x:c r="M65" s="13" t="str">
        <x:v>C21-S10</x:v>
      </x:c>
      <x:c r="N65" s="28" t="n">
        <x:v>4</x:v>
      </x:c>
      <x:c r="O65" s="13" t="str">
        <x:v>사용자 문제지 PDF</x:v>
      </x:c>
      <x:c r="P65" s="13" t="str">
        <x:v>70회 한국사_문제지(심화).pdf</x:v>
      </x:c>
      <x:c r="Q65" s="28" t="n">
        <x:v>2</x:v>
      </x:c>
    </x:row>
    <x:row r="66" ht="53.25" customHeight="1">
      <x:c r="A66" s="16" t="str">
        <x:v>official-70-advanced-08</x:v>
      </x:c>
      <x:c r="B66" s="27" t="n">
        <x:v>70</x:v>
      </x:c>
      <x:c r="C66" s="60" t="str">
        <x:v>심화</x:v>
      </x:c>
      <x:c r="D66" s="27" t="n">
        <x:v>8</x:v>
      </x:c>
      <x:c r="E66" s="27" t="n">
        <x:v>3</x:v>
      </x:c>
      <x:c r="F66" s="49" t="str">
        <x:v>선정</x:v>
      </x:c>
      <x:c r="G66" s="16" t="str">
        <x:v>진성여왕에게 시무 10여 조를 올린 최치원의 활동을 묻는다</x:v>
      </x:c>
      <x:c r="H66" s="16" t="str">
        <x:v>일반</x:v>
      </x:c>
      <x:c r="I66" s="16" t="str">
        <x:v>신라 6두품 유학생 세 사람의 행로를 비교하며 최치원·최승우·최언위를 다룬다.</x:v>
      </x:c>
      <x:c r="J66" s="16" t="str">
        <x:v>진성여왕에게 시무 10여 조를 올린 인물은 최치원이다. 그는 당에서 격황소서, 곧 토황소격문으로 문명을 떨쳤으므로 ③이 옳다.</x:v>
      </x:c>
      <x:c r="K66" s="71" t="str">
        <x:v>https://www.historyexam.go.kr/atchFile/FileDown.do?atch_file_id=B_202405251204104430#page=2</x:v>
      </x:c>
      <x:c r="L66" s="71" t="str">
        <x:v>https://www.historyexam.go.kr/atchFile/FileDown.do?atch_file_id=B_202405251205112771</x:v>
      </x:c>
      <x:c r="M66" s="16" t="str">
        <x:v>C19-S08</x:v>
      </x:c>
      <x:c r="N66" s="27" t="n">
        <x:v>1</x:v>
      </x:c>
      <x:c r="O66" s="16" t="str">
        <x:v>사용자 문제지 PDF</x:v>
      </x:c>
      <x:c r="P66" s="16" t="str">
        <x:v>70회 한국사_문제지(심화).pdf</x:v>
      </x:c>
      <x:c r="Q66" s="27" t="n">
        <x:v>2</x:v>
      </x:c>
    </x:row>
    <x:row r="67" ht="53.25" customHeight="1">
      <x:c r="A67" s="13" t="str">
        <x:v>official-70-advanced-09</x:v>
      </x:c>
      <x:c r="B67" s="28" t="n">
        <x:v>70</x:v>
      </x:c>
      <x:c r="C67" s="61" t="str">
        <x:v>심화</x:v>
      </x:c>
      <x:c r="D67" s="28" t="n">
        <x:v>9</x:v>
      </x:c>
      <x:c r="E67" s="28" t="n">
        <x:v>4</x:v>
      </x:c>
      <x:c r="F67" s="39" t="str">
        <x:v>검토만</x:v>
      </x:c>
      <x:c r="G67" s="13" t="str">
        <x:v>김주원 대신 즉위한 김경신의 사건을 연표에 놓는다</x:v>
      </x:c>
      <x:c r="H67" s="13" t="str">
        <x:v>일반</x:v>
      </x:c>
      <x:c r="I67" s="13" t="str">
        <x:v>선덕왕 사후 북천의 홍수로 김주원이 오지 못하자 김경신이 먼저 들어가 왕위에 올랐다.</x:v>
      </x:c>
      <x:c r="J67" s="13" t="str">
        <x:v>김경신은 원성왕으로 즉위한 인물이다. 이 사건은 연표의 혜공왕 피살 뒤, 청해진 설치 앞 구간인 (라)에 놓이므로 ④가 옳다.</x:v>
      </x:c>
      <x:c r="K67" s="72" t="str">
        <x:v>https://www.historyexam.go.kr/atchFile/FileDown.do?atch_file_id=B_202405251204104430#page=2</x:v>
      </x:c>
      <x:c r="L67" s="72" t="str">
        <x:v>https://www.historyexam.go.kr/atchFile/FileDown.do?atch_file_id=B_202405251205112771</x:v>
      </x:c>
      <x:c r="M67" s="13" t="str">
        <x:v>—</x:v>
      </x:c>
      <x:c r="N67" s="28" t="n">
        <x:v>0</x:v>
      </x:c>
      <x:c r="O67" s="13" t="str">
        <x:v>사용자 문제지 PDF</x:v>
      </x:c>
      <x:c r="P67" s="13" t="str">
        <x:v>70회 한국사_문제지(심화).pdf</x:v>
      </x:c>
      <x:c r="Q67" s="28" t="n">
        <x:v>2</x:v>
      </x:c>
    </x:row>
    <x:row r="68" ht="53.25" customHeight="1">
      <x:c r="A68" s="16" t="str">
        <x:v>official-70-advanced-10</x:v>
      </x:c>
      <x:c r="B68" s="27" t="n">
        <x:v>70</x:v>
      </x:c>
      <x:c r="C68" s="60" t="str">
        <x:v>심화</x:v>
      </x:c>
      <x:c r="D68" s="27" t="n">
        <x:v>10</x:v>
      </x:c>
      <x:c r="E68" s="27" t="n">
        <x:v>3</x:v>
      </x:c>
      <x:c r="F68" s="39" t="str">
        <x:v>검토만</x:v>
      </x:c>
      <x:c r="G68" s="16" t="str">
        <x:v>공산·고창·견훤 귀순·일리천으로 이어지는 후삼국 통일 과정의 빈칸을 채운다</x:v>
      </x:c>
      <x:c r="H68" s="16" t="str">
        <x:v>일반</x:v>
      </x:c>
      <x:c r="I68" s="16" t="str">
        <x:v>공산에서 신숭겸 전사 → 고창 승리 → 견훤 금산사 탈출·고려 귀순 → 빈칸 → 일리천 승리.</x:v>
      </x:c>
      <x:c r="J68" s="16" t="str">
        <x:v>견훤의 고려 귀순과 일리천 전투 사이에 신라 경순왕 김부의 귀부가 놓인다. 김부가 경주의 사심관이 된 ③이 통일 과정의 빈칸에 들어간다.</x:v>
      </x:c>
      <x:c r="K68" s="71" t="str">
        <x:v>https://www.historyexam.go.kr/atchFile/FileDown.do?atch_file_id=B_202405251204104430#page=3</x:v>
      </x:c>
      <x:c r="L68" s="71" t="str">
        <x:v>https://www.historyexam.go.kr/atchFile/FileDown.do?atch_file_id=B_202405251205112771</x:v>
      </x:c>
      <x:c r="M68" s="16" t="str">
        <x:v>—</x:v>
      </x:c>
      <x:c r="N68" s="27" t="n">
        <x:v>0</x:v>
      </x:c>
      <x:c r="O68" s="16" t="str">
        <x:v>사용자 문제지 PDF</x:v>
      </x:c>
      <x:c r="P68" s="16" t="str">
        <x:v>70회 한국사_문제지(심화).pdf</x:v>
      </x:c>
      <x:c r="Q68" s="27" t="n">
        <x:v>3</x:v>
      </x:c>
    </x:row>
    <x:row r="69" ht="53.25" customHeight="1">
      <x:c r="A69" s="13" t="str">
        <x:v>official-71-advanced-06</x:v>
      </x:c>
      <x:c r="B69" s="28" t="n">
        <x:v>71</x:v>
      </x:c>
      <x:c r="C69" s="61" t="str">
        <x:v>심화</x:v>
      </x:c>
      <x:c r="D69" s="28" t="n">
        <x:v>6</x:v>
      </x:c>
      <x:c r="E69" s="28" t="n">
        <x:v>3</x:v>
      </x:c>
      <x:c r="F69" s="49" t="str">
        <x:v>선정</x:v>
      </x:c>
      <x:c r="G69" s="13" t="str">
        <x:v>지증왕의 국호·왕호·순장 금지·우산국 복속</x:v>
      </x:c>
      <x:c r="H69" s="13" t="str">
        <x:v>일반</x:v>
      </x:c>
      <x:c r="I69" s="13" t="str">
        <x:v>국호 신라, 왕 칭호 채택과 순장 금지를 단서로 지증왕을 식별한다.</x:v>
      </x:c>
      <x:c r="J69" s="13" t="str">
        <x:v>국호를 신라로 확정하고 왕 칭호를 사용한 왕은 지증왕이다. 지증왕 때 이사부가 우산국을 복속하였다.</x:v>
      </x:c>
      <x:c r="K69" s="72" t="str">
        <x:v>https://github.com/tjdus7911-ops/history/blob/e27f008038d722934eee63070aac4e006c7d7bd9/dist/assets/exams/catalog/71-advanced-06.webp</x:v>
      </x:c>
      <x:c r="L69" s="72" t="str">
        <x:v>https://www.historyexam.go.kr/answer/list.do?times=71&amp;testlevel=1</x:v>
      </x:c>
      <x:c r="M69" s="13" t="str">
        <x:v>C11-S03</x:v>
      </x:c>
      <x:c r="N69" s="28" t="n">
        <x:v>5</x:v>
      </x:c>
      <x:c r="O69" s="13" t="str">
        <x:v>저장소 원문 문항 이미지</x:v>
      </x:c>
      <x:c r="P69" s="13" t="str">
        <x:v>71회 한국사_문제지(심화).pdf</x:v>
      </x:c>
      <x:c r="Q69" s="28" t="n">
        <x:v>2</x:v>
      </x:c>
    </x:row>
    <x:row r="70" ht="53.25" customHeight="1">
      <x:c r="A70" s="16" t="str">
        <x:v>official-73-basic-03</x:v>
      </x:c>
      <x:c r="B70" s="27" t="n">
        <x:v>73</x:v>
      </x:c>
      <x:c r="C70" s="60" t="str">
        <x:v>기본</x:v>
      </x:c>
      <x:c r="D70" s="27" t="n">
        <x:v>3</x:v>
      </x:c>
      <x:c r="E70" s="27" t="n">
        <x:v>4</x:v>
      </x:c>
      <x:c r="F70" s="39" t="str">
        <x:v>검토만</x:v>
      </x:c>
      <x:c r="G70" s="16" t="str">
        <x:v>수로왕이 건국했다고 전하는 나라에 관한 탐구 활동을 고른다</x:v>
      </x:c>
      <x:c r="H70" s="16" t="str">
        <x:v>일반</x:v>
      </x:c>
      <x:c r="I70" s="16" t="str">
        <x:v>김해 대성동 고분군의 금동 허리띠와 긴목항아리·그릇받침을 활용한 기념품 제작 활동이며 수로왕 건국 전승이 제시된다.</x:v>
      </x:c>
      <x:c r="J70" s="16" t="str">
        <x:v>수로왕의 건국 전승과 김해 대성동 고분군은 금관가야를 가리킨다. 구지가는 수로왕 건국 이야기와 연결되므로 ④가 적절하다. 건국 신화의 내용은 전승으로 구분하여 이해한다.</x:v>
      </x:c>
      <x:c r="K70" s="71" t="str">
        <x:v>https://www.historyexam.go.kr/atchFile/FileDown.do?atch_file_id=B_202502161146105380#page=1</x:v>
      </x:c>
      <x:c r="L70" s="71" t="str">
        <x:v>https://www.historyexam.go.kr/atchFile/FileDown.do?atch_file_id=B_202502161146106921</x:v>
      </x:c>
      <x:c r="M70" s="16" t="str">
        <x:v>—</x:v>
      </x:c>
      <x:c r="N70" s="27" t="n">
        <x:v>0</x:v>
      </x:c>
      <x:c r="O70" s="16" t="str">
        <x:v>사용자 문제지 PDF</x:v>
      </x:c>
      <x:c r="P70" s="16" t="str">
        <x:v>73회 한국사_문제지(기본).pdf</x:v>
      </x:c>
      <x:c r="Q70" s="27" t="n">
        <x:v>1</x:v>
      </x:c>
    </x:row>
    <x:row r="71" ht="42" customHeight="1">
      <x:c r="A71" s="13" t="str">
        <x:v>official-73-basic-04</x:v>
      </x:c>
      <x:c r="B71" s="28" t="n">
        <x:v>73</x:v>
      </x:c>
      <x:c r="C71" s="61" t="str">
        <x:v>기본</x:v>
      </x:c>
      <x:c r="D71" s="28" t="n">
        <x:v>4</x:v>
      </x:c>
      <x:c r="E71" s="28" t="n">
        <x:v>3</x:v>
      </x:c>
      <x:c r="F71" s="49" t="str">
        <x:v>선정</x:v>
      </x:c>
      <x:c r="G71" s="13" t="str">
        <x:v>화엄종 개창·부석사 건립·관음 신앙과 관련된 승려를 고른다</x:v>
      </x:c>
      <x:c r="H71" s="13" t="str">
        <x:v>일반</x:v>
      </x:c>
      <x:c r="I71" s="13" t="str">
        <x:v>인물 연상 설문판의 세 항목이 화엄종 개창, 부석사 건립, 관음 신앙 강조이다.</x:v>
      </x:c>
      <x:c r="J71" s="13" t="str">
        <x:v>화엄종을 개창하고 부석사를 세운 승려는 의상이다. 관음 신앙을 강조했다는 단서도 의상과 연결되므로 ③이 정답이다.</x:v>
      </x:c>
      <x:c r="K71" s="72" t="str">
        <x:v>https://www.historyexam.go.kr/atchFile/FileDown.do?atch_file_id=B_202502161146105380#page=1</x:v>
      </x:c>
      <x:c r="L71" s="72" t="str">
        <x:v>https://www.historyexam.go.kr/atchFile/FileDown.do?atch_file_id=B_202502161146106921</x:v>
      </x:c>
      <x:c r="M71" s="13" t="str">
        <x:v>C17-S03</x:v>
      </x:c>
      <x:c r="N71" s="28" t="n">
        <x:v>1</x:v>
      </x:c>
      <x:c r="O71" s="13" t="str">
        <x:v>사용자 문제지 PDF</x:v>
      </x:c>
      <x:c r="P71" s="13" t="str">
        <x:v>73회 한국사_문제지(기본).pdf</x:v>
      </x:c>
      <x:c r="Q71" s="28" t="n">
        <x:v>1</x:v>
      </x:c>
    </x:row>
    <x:row r="72" ht="53.25" customHeight="1">
      <x:c r="A72" s="16" t="str">
        <x:v>official-73-basic-05</x:v>
      </x:c>
      <x:c r="B72" s="27" t="n">
        <x:v>73</x:v>
      </x:c>
      <x:c r="C72" s="60" t="str">
        <x:v>기본</x:v>
      </x:c>
      <x:c r="D72" s="27" t="n">
        <x:v>5</x:v>
      </x:c>
      <x:c r="E72" s="27" t="n">
        <x:v>3</x:v>
      </x:c>
      <x:c r="F72" s="49" t="str">
        <x:v>선정</x:v>
      </x:c>
      <x:c r="G72" s="16" t="str">
        <x:v>전진의 불교를 수용하고 태학을 설립한 고구려 왕을 고른다</x:v>
      </x:c>
      <x:c r="H72" s="16" t="str">
        <x:v>일반</x:v>
      </x:c>
      <x:c r="I72" s="16" t="str">
        <x:v>재위 기간 371~384년, 전진으로부터 불교 수용, 태학 설립, 백제 수곡성 공격이 검색 결과에 제시된다.</x:v>
      </x:c>
      <x:c r="J72" s="16" t="str">
        <x:v>371~384년에 재위하며 전진에서 불교를 받아들이고 태학을 세운 왕은 소수림왕이다. 따라서 ③이 정답이다. 같은 고구려 왕인 미천왕·장수왕·광개토대왕과 업적을 구분해야 한다.</x:v>
      </x:c>
      <x:c r="K72" s="71" t="str">
        <x:v>https://www.historyexam.go.kr/atchFile/FileDown.do?atch_file_id=B_202502161146105380#page=2</x:v>
      </x:c>
      <x:c r="L72" s="71" t="str">
        <x:v>https://www.historyexam.go.kr/atchFile/FileDown.do?atch_file_id=B_202502161146106921</x:v>
      </x:c>
      <x:c r="M72" s="16" t="str">
        <x:v>C02-S08</x:v>
      </x:c>
      <x:c r="N72" s="27" t="n">
        <x:v>2</x:v>
      </x:c>
      <x:c r="O72" s="16" t="str">
        <x:v>사용자 문제지 PDF</x:v>
      </x:c>
      <x:c r="P72" s="16" t="str">
        <x:v>73회 한국사_문제지(기본).pdf</x:v>
      </x:c>
      <x:c r="Q72" s="27" t="n">
        <x:v>2</x:v>
      </x:c>
    </x:row>
    <x:row r="73" ht="53.25" customHeight="1">
      <x:c r="A73" s="13" t="str">
        <x:v>official-73-basic-06</x:v>
      </x:c>
      <x:c r="B73" s="28" t="n">
        <x:v>73</x:v>
      </x:c>
      <x:c r="C73" s="61" t="str">
        <x:v>기본</x:v>
      </x:c>
      <x:c r="D73" s="28" t="n">
        <x:v>6</x:v>
      </x:c>
      <x:c r="E73" s="28" t="n">
        <x:v>2</x:v>
      </x:c>
      <x:c r="F73" s="49" t="str">
        <x:v>선정</x:v>
      </x:c>
      <x:c r="G73" s="13" t="str">
        <x:v>경주 금령총의 기마인물형 토기를 남긴 국가의 사회 제도를 고른다</x:v>
      </x:c>
      <x:c r="H73" s="13" t="str">
        <x:v>일반</x:v>
      </x:c>
      <x:c r="I73" s="13" t="str">
        <x:v>수도가 경주였고 금령총에서 주인과 하인을 다르게 표현한 한 쌍의 도기 기마인물형 명기가 출토되었다는 문화유산 카드.</x:v>
      </x:c>
      <x:c r="J73" s="13" t="str">
        <x:v>경주 금령총과 기마인물형 명기는 신라의 자료이다. 신라는 골품제를 운영했으므로 ②가 옳다. 자료 속 주인과 하인의 크기·치장 차이는 당시 신분 차이를 보여 준다.</x:v>
      </x:c>
      <x:c r="K73" s="72" t="str">
        <x:v>https://www.historyexam.go.kr/atchFile/FileDown.do?atch_file_id=B_202502161146105380#page=2</x:v>
      </x:c>
      <x:c r="L73" s="72" t="str">
        <x:v>https://www.historyexam.go.kr/atchFile/FileDown.do?atch_file_id=B_202502161146106921</x:v>
      </x:c>
      <x:c r="M73" s="13" t="str">
        <x:v>C10-S05</x:v>
      </x:c>
      <x:c r="N73" s="28" t="n">
        <x:v>3</x:v>
      </x:c>
      <x:c r="O73" s="13" t="str">
        <x:v>사용자 문제지 PDF</x:v>
      </x:c>
      <x:c r="P73" s="13" t="str">
        <x:v>73회 한국사_문제지(기본).pdf</x:v>
      </x:c>
      <x:c r="Q73" s="28" t="n">
        <x:v>2</x:v>
      </x:c>
    </x:row>
    <x:row r="74" ht="67.5" customHeight="1">
      <x:c r="A74" s="16" t="str">
        <x:v>official-73-basic-07</x:v>
      </x:c>
      <x:c r="B74" s="27" t="n">
        <x:v>73</x:v>
      </x:c>
      <x:c r="C74" s="60" t="str">
        <x:v>기본</x:v>
      </x:c>
      <x:c r="D74" s="27" t="n">
        <x:v>7</x:v>
      </x:c>
      <x:c r="E74" s="27" t="n">
        <x:v>4</x:v>
      </x:c>
      <x:c r="F74" s="49" t="str">
        <x:v>선정</x:v>
      </x:c>
      <x:c r="G74" s="16" t="str">
        <x:v>의자왕과 부여융이 항복한 상황 이후에 일어난 일을 고른다</x:v>
      </x:c>
      <x:c r="H74" s="16" t="str">
        <x:v>일반</x:v>
      </x:c>
      <x:c r="I74" s="16" t="str">
        <x:v>의자왕이 웅진성으로 피신하고 부여융 등이 항복하자 김법민이 부여융을 꾸짖는 자료이며 김법민을 훗날 문무왕이라고 주석 처리한다.</x:v>
      </x:c>
      <x:c r="J74" s="16" t="str">
        <x:v>자료는 660년 백제 멸망 때의 상황이다. 그 뒤인 668년에 나당 연합군이 평양성을 점령하며 고구려가 멸망하였으므로 ④가 옳다. 대가야 정복·우산국 복속·고구려의 한성 함락은 모두 그 이전이다.</x:v>
      </x:c>
      <x:c r="K74" s="71" t="str">
        <x:v>https://www.historyexam.go.kr/atchFile/FileDown.do?atch_file_id=B_202502161146105380#page=2</x:v>
      </x:c>
      <x:c r="L74" s="71" t="str">
        <x:v>https://www.historyexam.go.kr/atchFile/FileDown.do?atch_file_id=B_202502161146106921</x:v>
      </x:c>
      <x:c r="M74" s="16" t="str">
        <x:v>C13-S08</x:v>
      </x:c>
      <x:c r="N74" s="27" t="n">
        <x:v>3</x:v>
      </x:c>
      <x:c r="O74" s="16" t="str">
        <x:v>사용자 문제지 PDF</x:v>
      </x:c>
      <x:c r="P74" s="16" t="str">
        <x:v>73회 한국사_문제지(기본).pdf</x:v>
      </x:c>
      <x:c r="Q74" s="27" t="n">
        <x:v>2</x:v>
      </x:c>
    </x:row>
    <x:row r="75" ht="67.5" customHeight="1">
      <x:c r="A75" s="13" t="str">
        <x:v>official-73-basic-08</x:v>
      </x:c>
      <x:c r="B75" s="28" t="n">
        <x:v>73</x:v>
      </x:c>
      <x:c r="C75" s="61" t="str">
        <x:v>기본</x:v>
      </x:c>
      <x:c r="D75" s="28" t="n">
        <x:v>8</x:v>
      </x:c>
      <x:c r="E75" s="28" t="n">
        <x:v>3</x:v>
      </x:c>
      <x:c r="F75" s="39" t="str">
        <x:v>검토만</x:v>
      </x:c>
      <x:c r="G75" s="13" t="str">
        <x:v>사비라고 불리던 지역의 백제 유산을 담은 지역화폐 도안을 고른다</x:v>
      </x:c>
      <x:c r="H75" s="13" t="str">
        <x:v>일반</x:v>
      </x:c>
      <x:c r="I75" s="13" t="str">
        <x:v>백제의 수도였으며 사비라고 불렸던 지역에 위치한 백제 문화유산을 도안의 소재로 요구한다.</x:v>
      </x:c>
      <x:c r="J75" s="13" t="str">
        <x:v>사비는 오늘날 부여이며, 그곳의 대표적인 백제 유산은 정림사지 오층 석탑이다. 따라서 ③이 적절하다. ① 풍납토성 출토 수막새는 백제 자료이지만 서울의 유산이므로 이 공모전의 지역 조건에 맞지 않는다.</x:v>
      </x:c>
      <x:c r="K75" s="72" t="str">
        <x:v>https://www.historyexam.go.kr/atchFile/FileDown.do?atch_file_id=B_202502161146105380#page=2</x:v>
      </x:c>
      <x:c r="L75" s="72" t="str">
        <x:v>https://www.historyexam.go.kr/atchFile/FileDown.do?atch_file_id=B_202502161146106921</x:v>
      </x:c>
      <x:c r="M75" s="13" t="str">
        <x:v>—</x:v>
      </x:c>
      <x:c r="N75" s="28" t="n">
        <x:v>0</x:v>
      </x:c>
      <x:c r="O75" s="13" t="str">
        <x:v>사용자 문제지 PDF</x:v>
      </x:c>
      <x:c r="P75" s="13" t="str">
        <x:v>73회 한국사_문제지(기본).pdf</x:v>
      </x:c>
      <x:c r="Q75" s="28" t="n">
        <x:v>2</x:v>
      </x:c>
    </x:row>
    <x:row r="76" ht="67.5" customHeight="1">
      <x:c r="A76" s="16" t="str">
        <x:v>official-73-basic-09</x:v>
      </x:c>
      <x:c r="B76" s="27" t="n">
        <x:v>73</x:v>
      </x:c>
      <x:c r="C76" s="60" t="str">
        <x:v>기본</x:v>
      </x:c>
      <x:c r="D76" s="27" t="n">
        <x:v>9</x:v>
      </x:c>
      <x:c r="E76" s="27" t="n">
        <x:v>1</x:v>
      </x:c>
      <x:c r="F76" s="49" t="str">
        <x:v>선정</x:v>
      </x:c>
      <x:c r="G76" s="16" t="str">
        <x:v>해동성국이며 유득공이 역사를 정리한 국가의 건국 사실을 고른다</x:v>
      </x:c>
      <x:c r="H76" s="16" t="str">
        <x:v>일반</x:v>
      </x:c>
      <x:c r="I76" s="16" t="str">
        <x:v>자료가 해당 국가를 해동성국이라 부르고, 멸망 후 오랜 시간이 지나 유득공이 그 역사를 전하게 되었다고 설명한다.</x:v>
      </x:c>
      <x:c r="J76" s="16" t="str">
        <x:v>해동성국이라는 표현과 유득공의 역사 정리가 가리키는 나라는 발해이다. 대조영이 동모산에서 발해를 세웠으므로 ①이 옳다. 안시성 전투와 집사부, 무태·성책 연호는 발해의 사실이 아니다.</x:v>
      </x:c>
      <x:c r="K76" s="71" t="str">
        <x:v>https://www.historyexam.go.kr/atchFile/FileDown.do?atch_file_id=B_202502161146105380#page=2</x:v>
      </x:c>
      <x:c r="L76" s="71" t="str">
        <x:v>https://www.historyexam.go.kr/atchFile/FileDown.do?atch_file_id=B_202502161146106921</x:v>
      </x:c>
      <x:c r="M76" s="16" t="str">
        <x:v>C22-S07</x:v>
      </x:c>
      <x:c r="N76" s="27" t="n">
        <x:v>9</x:v>
      </x:c>
      <x:c r="O76" s="16" t="str">
        <x:v>사용자 문제지 PDF</x:v>
      </x:c>
      <x:c r="P76" s="16" t="str">
        <x:v>73회 한국사_문제지(기본).pdf</x:v>
      </x:c>
      <x:c r="Q76" s="27" t="n">
        <x:v>2</x:v>
      </x:c>
    </x:row>
    <x:row r="77" ht="67.5" customHeight="1">
      <x:c r="A77" s="13" t="str">
        <x:v>official-73-basic-10</x:v>
      </x:c>
      <x:c r="B77" s="28" t="n">
        <x:v>73</x:v>
      </x:c>
      <x:c r="C77" s="61" t="str">
        <x:v>기본</x:v>
      </x:c>
      <x:c r="D77" s="28" t="n">
        <x:v>10</x:v>
      </x:c>
      <x:c r="E77" s="28" t="n">
        <x:v>3</x:v>
      </x:c>
      <x:c r="F77" s="39" t="str">
        <x:v>검토만</x:v>
      </x:c>
      <x:c r="G77" s="13" t="str">
        <x:v>신검에게 금산사에 갇혔다가 왕건에게 귀부한 인물의 활동을 고른다</x:v>
      </x:c>
      <x:c r="H77" s="13" t="str">
        <x:v>일반</x:v>
      </x:c>
      <x:c r="I77" s="13" t="str">
        <x:v>아들 신검이 아버지를 금산사에 유폐했고, 그 아버지가 탈출하여 왕건에게 의탁하자 왕건이 우대했다는 가상 뉴스.</x:v>
      </x:c>
      <x:c r="J77" s="13" t="str">
        <x:v>신검에게 유폐되었다가 왕건에게 귀부한 인물은 견훤이다. 견훤은 완산주에서 후백제를 세웠으므로 ③이 옳다. 훈요 10조는 왕건, 마진 국호는 궁예, 경주의 사심관은 경순왕과 관련된다.</x:v>
      </x:c>
      <x:c r="K77" s="72" t="str">
        <x:v>https://www.historyexam.go.kr/atchFile/FileDown.do?atch_file_id=B_202502161146105380#page=3</x:v>
      </x:c>
      <x:c r="L77" s="72" t="str">
        <x:v>https://www.historyexam.go.kr/atchFile/FileDown.do?atch_file_id=B_202502161146106921</x:v>
      </x:c>
      <x:c r="M77" s="13" t="str">
        <x:v>—</x:v>
      </x:c>
      <x:c r="N77" s="28" t="n">
        <x:v>0</x:v>
      </x:c>
      <x:c r="O77" s="13" t="str">
        <x:v>사용자 문제지 PDF</x:v>
      </x:c>
      <x:c r="P77" s="13" t="str">
        <x:v>73회 한국사_문제지(기본).pdf</x:v>
      </x:c>
      <x:c r="Q77" s="28" t="n">
        <x:v>3</x:v>
      </x:c>
    </x:row>
    <x:row r="78" ht="67.5" customHeight="1">
      <x:c r="A78" s="16" t="str">
        <x:v>official-73-basic-30</x:v>
      </x:c>
      <x:c r="B78" s="27" t="n">
        <x:v>73</x:v>
      </x:c>
      <x:c r="C78" s="60" t="str">
        <x:v>기본</x:v>
      </x:c>
      <x:c r="D78" s="27" t="n">
        <x:v>30</x:v>
      </x:c>
      <x:c r="E78" s="27" t="n">
        <x:v>4</x:v>
      </x:c>
      <x:c r="F78" s="49" t="str">
        <x:v>선정</x:v>
      </x:c>
      <x:c r="G78" s="16" t="str">
        <x:v>고구려비를 비롯한 여러 시대의 지역 단서를 종합해 도시를 고른다</x:v>
      </x:c>
      <x:c r="H78" s="16" t="str">
        <x:v>일반</x:v>
      </x:c>
      <x:c r="I78" s="16" t="str">
        <x:v>조동리 유적, 남한 지역에서 발견된 고구려비, 고려의 덕흥창, 임진왜란 때 신립의 탄금대 전투가 함께 제시된다.</x:v>
      </x:c>
      <x:c r="J78" s="16" t="str">
        <x:v>고구려비가 발견된 곳은 충주이다. 자료에 함께 나온 조동리 유적·덕흥창·탄금대도 충주를 가리키므로 ④가 정답이다. 이 문항은 여러 시대의 지역 단서를 종합하는 문제이므로 고구려비의 건립 연대를 묻는 문제로 바꾸어 설명하지 않는다.</x:v>
      </x:c>
      <x:c r="K78" s="71" t="str">
        <x:v>https://www.historyexam.go.kr/atchFile/FileDown.do?atch_file_id=B_202502161146105380#page=8</x:v>
      </x:c>
      <x:c r="L78" s="71" t="str">
        <x:v>https://www.historyexam.go.kr/atchFile/FileDown.do?atch_file_id=B_202502161146106921</x:v>
      </x:c>
      <x:c r="M78" s="16" t="str">
        <x:v>C04-S08</x:v>
      </x:c>
      <x:c r="N78" s="27" t="n">
        <x:v>1</x:v>
      </x:c>
      <x:c r="O78" s="16" t="str">
        <x:v>사용자 문제지 PDF</x:v>
      </x:c>
      <x:c r="P78" s="16" t="str">
        <x:v>73회 한국사_문제지(기본).pdf</x:v>
      </x:c>
      <x:c r="Q78" s="27" t="n">
        <x:v>8</x:v>
      </x:c>
    </x:row>
    <x:row r="79" ht="42" customHeight="1">
      <x:c r="A79" s="13" t="str">
        <x:v>official-74-advanced-03</x:v>
      </x:c>
      <x:c r="B79" s="28" t="n">
        <x:v>74</x:v>
      </x:c>
      <x:c r="C79" s="61" t="str">
        <x:v>심화</x:v>
      </x:c>
      <x:c r="D79" s="28" t="n">
        <x:v>3</x:v>
      </x:c>
      <x:c r="E79" s="28" t="n">
        <x:v>2</x:v>
      </x:c>
      <x:c r="F79" s="39" t="str">
        <x:v>검토만</x:v>
      </x:c>
      <x:c r="G79" s="13" t="str">
        <x:v>장군총의 돌무지무덤 구조를 보고 고구려의 교육 활동을 고른다</x:v>
      </x:c>
      <x:c r="H79" s="13" t="str">
        <x:v>일반</x:v>
      </x:c>
      <x:c r="I79" s="13" t="str">
        <x:v>반듯하게 다듬은 돌을 계단처럼 쌓은 장군총의 모형과 규모 설명.</x:v>
      </x:c>
      <x:c r="J79" s="13" t="str">
        <x:v>계단식 돌무지무덤인 장군총은 고구려 유산이다. 고구려 청년들이 경당에서 수련하는 모습을 고르는 ②가 옳다.</x:v>
      </x:c>
      <x:c r="K79" s="72" t="str">
        <x:v>https://www.historyexam.go.kr/atchFile/FileDown.do?atch_file_id=B_202505241213575190#page=1</x:v>
      </x:c>
      <x:c r="L79" s="72" t="str">
        <x:v>https://www.historyexam.go.kr/atchFile/FileDown.do?atch_file_id=B_202505241213576251</x:v>
      </x:c>
      <x:c r="M79" s="13" t="str">
        <x:v>—</x:v>
      </x:c>
      <x:c r="N79" s="28" t="n">
        <x:v>0</x:v>
      </x:c>
      <x:c r="O79" s="13" t="str">
        <x:v>사용자 문제지 PDF</x:v>
      </x:c>
      <x:c r="P79" s="13" t="str">
        <x:v>74회 한국사_문제지(심화).pdf</x:v>
      </x:c>
      <x:c r="Q79" s="28" t="n">
        <x:v>1</x:v>
      </x:c>
    </x:row>
    <x:row r="80" ht="53.25" customHeight="1">
      <x:c r="A80" s="16" t="str">
        <x:v>official-74-advanced-04</x:v>
      </x:c>
      <x:c r="B80" s="27" t="n">
        <x:v>74</x:v>
      </x:c>
      <x:c r="C80" s="60" t="str">
        <x:v>심화</x:v>
      </x:c>
      <x:c r="D80" s="27" t="n">
        <x:v>4</x:v>
      </x:c>
      <x:c r="E80" s="27" t="n">
        <x:v>2</x:v>
      </x:c>
      <x:c r="F80" s="49" t="str">
        <x:v>선정</x:v>
      </x:c>
      <x:c r="G80" s="16" t="str">
        <x:v>성왕의 관산성 전사와 의자왕대 대야성 함락 사이의 사건을 묻는다</x:v>
      </x:c>
      <x:c r="H80" s="16" t="str">
        <x:v>일반</x:v>
      </x:c>
      <x:c r="I80" s="16" t="str">
        <x:v>앞 사료는 백제 성왕의 관산성 공격과 전사, 뒤 사료는 윤충의 대야성 공격이다.</x:v>
      </x:c>
      <x:c r="J80" s="16" t="str">
        <x:v>관산성 전투와 대야성 함락 사이에 신라 진흥왕이 대가야를 병합했다. 따라서 ②가 옳으며, 남부여 개칭이나 한강 하류 확보를 이 구간의 사건으로 옮겨 놓으면 안 된다.</x:v>
      </x:c>
      <x:c r="K80" s="71" t="str">
        <x:v>https://www.historyexam.go.kr/atchFile/FileDown.do?atch_file_id=B_202505241213575190#page=1</x:v>
      </x:c>
      <x:c r="L80" s="71" t="str">
        <x:v>https://www.historyexam.go.kr/atchFile/FileDown.do?atch_file_id=B_202505241213576251</x:v>
      </x:c>
      <x:c r="M80" s="16" t="str">
        <x:v>C12-S09</x:v>
      </x:c>
      <x:c r="N80" s="27" t="n">
        <x:v>12</x:v>
      </x:c>
      <x:c r="O80" s="16" t="str">
        <x:v>사용자 문제지 PDF</x:v>
      </x:c>
      <x:c r="P80" s="16" t="str">
        <x:v>74회 한국사_문제지(심화).pdf</x:v>
      </x:c>
      <x:c r="Q80" s="27" t="n">
        <x:v>1</x:v>
      </x:c>
    </x:row>
    <x:row r="81" ht="42" customHeight="1">
      <x:c r="A81" s="13" t="str">
        <x:v>official-74-advanced-05</x:v>
      </x:c>
      <x:c r="B81" s="28" t="n">
        <x:v>74</x:v>
      </x:c>
      <x:c r="C81" s="61" t="str">
        <x:v>심화</x:v>
      </x:c>
      <x:c r="D81" s="28" t="n">
        <x:v>5</x:v>
      </x:c>
      <x:c r="E81" s="28" t="n">
        <x:v>5</x:v>
      </x:c>
      <x:c r="F81" s="39" t="str">
        <x:v>검토만</x:v>
      </x:c>
      <x:c r="G81" s="13" t="str">
        <x:v>능산리 동하총의 사신도 벽화를 단서로 백제의 지배층을 묻는다</x:v>
      </x:c>
      <x:c r="H81" s="13" t="str">
        <x:v>일반</x:v>
      </x:c>
      <x:c r="I81" s="13" t="str">
        <x:v>능산리 고분군 동하총 현무실의 사신도·연꽃·구름무늬와 송산리 6호분이 언급된다.</x:v>
      </x:c>
      <x:c r="J81" s="13" t="str">
        <x:v>능산리 고분군과 송산리 6호분은 백제 무덤이다. 백제는 부여씨 왕족과 8성 귀족이 지배층을 이루었으므로 ⑤가 옳다.</x:v>
      </x:c>
      <x:c r="K81" s="72" t="str">
        <x:v>https://www.historyexam.go.kr/atchFile/FileDown.do?atch_file_id=B_202505241213575190#page=2</x:v>
      </x:c>
      <x:c r="L81" s="72" t="str">
        <x:v>https://www.historyexam.go.kr/atchFile/FileDown.do?atch_file_id=B_202505241213576251</x:v>
      </x:c>
      <x:c r="M81" s="13" t="str">
        <x:v>—</x:v>
      </x:c>
      <x:c r="N81" s="28" t="n">
        <x:v>0</x:v>
      </x:c>
      <x:c r="O81" s="13" t="str">
        <x:v>사용자 문제지 PDF</x:v>
      </x:c>
      <x:c r="P81" s="13" t="str">
        <x:v>74회 한국사_문제지(심화).pdf</x:v>
      </x:c>
      <x:c r="Q81" s="28" t="n">
        <x:v>2</x:v>
      </x:c>
    </x:row>
    <x:row r="82" ht="53.25" customHeight="1">
      <x:c r="A82" s="16" t="str">
        <x:v>official-74-advanced-06</x:v>
      </x:c>
      <x:c r="B82" s="27" t="n">
        <x:v>74</x:v>
      </x:c>
      <x:c r="C82" s="60" t="str">
        <x:v>심화</x:v>
      </x:c>
      <x:c r="D82" s="27" t="n">
        <x:v>6</x:v>
      </x:c>
      <x:c r="E82" s="27" t="n">
        <x:v>5</x:v>
      </x:c>
      <x:c r="F82" s="49" t="str">
        <x:v>선정</x:v>
      </x:c>
      <x:c r="G82" s="16" t="str">
        <x:v>감은사를 짓기 시작한 문무왕의 정책을 묻는다</x:v>
      </x:c>
      <x:c r="H82" s="16" t="str">
        <x:v>일반</x:v>
      </x:c>
      <x:c r="I82" s="16" t="str">
        <x:v>삼국 통일을 이룬 왕이 감은사를 착공했고 아들 신문왕이 완성했으며 수중릉은 대왕암이다.</x:v>
      </x:c>
      <x:c r="J82" s="16" t="str">
        <x:v>감은사 착공과 대왕암 수중릉으로 설명된 왕은 문무왕이다. 지방관을 감찰하기 위한 외사정 파견이 그의 정책이므로 ⑤를 고른다. 관료전·녹읍 정책은 아들 신문왕과 구별한다.</x:v>
      </x:c>
      <x:c r="K82" s="71" t="str">
        <x:v>https://www.historyexam.go.kr/atchFile/FileDown.do?atch_file_id=B_202505241213575190#page=2</x:v>
      </x:c>
      <x:c r="L82" s="71" t="str">
        <x:v>https://www.historyexam.go.kr/atchFile/FileDown.do?atch_file_id=B_202505241213576251</x:v>
      </x:c>
      <x:c r="M82" s="16" t="str">
        <x:v>C16-S04</x:v>
      </x:c>
      <x:c r="N82" s="27" t="n">
        <x:v>4</x:v>
      </x:c>
      <x:c r="O82" s="16" t="str">
        <x:v>사용자 문제지 PDF</x:v>
      </x:c>
      <x:c r="P82" s="16" t="str">
        <x:v>74회 한국사_문제지(심화).pdf</x:v>
      </x:c>
      <x:c r="Q82" s="27" t="n">
        <x:v>2</x:v>
      </x:c>
    </x:row>
    <x:row r="83" ht="53.25" customHeight="1">
      <x:c r="A83" s="13" t="str">
        <x:v>official-74-advanced-07</x:v>
      </x:c>
      <x:c r="B83" s="28" t="n">
        <x:v>74</x:v>
      </x:c>
      <x:c r="C83" s="61" t="str">
        <x:v>심화</x:v>
      </x:c>
      <x:c r="D83" s="28" t="n">
        <x:v>7</x:v>
      </x:c>
      <x:c r="E83" s="28" t="n">
        <x:v>5</x:v>
      </x:c>
      <x:c r="F83" s="39" t="str">
        <x:v>검토만</x:v>
      </x:c>
      <x:c r="G83" s="13" t="str">
        <x:v>발해의 교역로와 수출품을 보고 문적원을 연결한다</x:v>
      </x:c>
      <x:c r="H83" s="13" t="str">
        <x:v>일반</x:v>
      </x:c>
      <x:c r="I83" s="13" t="str">
        <x:v>지도에 조공도·영주도·거란도·일본도·신라도가 표시되고 담비 등 가죽과 약재, 소그드 은화·청동 낙타상이 언급된다.</x:v>
      </x:c>
      <x:c r="J83" s="13" t="str">
        <x:v>지도와 가죽·약재 교역 자료는 발해를 가리킨다. 발해에는 서적을 관리하고 주요 문서를 작성하는 문적원이 있었으므로 ⑤가 옳다.</x:v>
      </x:c>
      <x:c r="K83" s="72" t="str">
        <x:v>https://www.historyexam.go.kr/atchFile/FileDown.do?atch_file_id=B_202505241213575190#page=2</x:v>
      </x:c>
      <x:c r="L83" s="72" t="str">
        <x:v>https://www.historyexam.go.kr/atchFile/FileDown.do?atch_file_id=B_202505241213576251</x:v>
      </x:c>
      <x:c r="M83" s="13" t="str">
        <x:v>—</x:v>
      </x:c>
      <x:c r="N83" s="28" t="n">
        <x:v>0</x:v>
      </x:c>
      <x:c r="O83" s="13" t="str">
        <x:v>사용자 문제지 PDF</x:v>
      </x:c>
      <x:c r="P83" s="13" t="str">
        <x:v>74회 한국사_문제지(심화).pdf</x:v>
      </x:c>
      <x:c r="Q83" s="28" t="n">
        <x:v>2</x:v>
      </x:c>
    </x:row>
    <x:row r="84" ht="53.25" customHeight="1">
      <x:c r="A84" s="16" t="str">
        <x:v>official-74-advanced-08</x:v>
      </x:c>
      <x:c r="B84" s="27" t="n">
        <x:v>74</x:v>
      </x:c>
      <x:c r="C84" s="60" t="str">
        <x:v>심화</x:v>
      </x:c>
      <x:c r="D84" s="27" t="n">
        <x:v>8</x:v>
      </x:c>
      <x:c r="E84" s="27" t="n">
        <x:v>2</x:v>
      </x:c>
      <x:c r="F84" s="49" t="str">
        <x:v>선정</x:v>
      </x:c>
      <x:c r="G84" s="16" t="str">
        <x:v>보림사 철불과 9산문을 단서로 신라 말 선종을 묻는다</x:v>
      </x:c>
      <x:c r="H84" s="16" t="str">
        <x:v>일반</x:v>
      </x:c>
      <x:c r="I84" s="16" t="str">
        <x:v>가지산문의 보림사 철조비로자나불좌상, 헌안왕 때 주조 기록, 9세기 철불과 승탑 유행.</x:v>
      </x:c>
      <x:c r="J84" s="16" t="str">
        <x:v>9산문, 철불, 승탑으로 이어지는 신라 말의 불교 흐름은 선종이다. 선종이 참선과 수행으로 깨달음을 강조했다는 ②가 옳다.</x:v>
      </x:c>
      <x:c r="K84" s="71" t="str">
        <x:v>https://www.historyexam.go.kr/atchFile/FileDown.do?atch_file_id=B_202505241213575190#page=2</x:v>
      </x:c>
      <x:c r="L84" s="71" t="str">
        <x:v>https://www.historyexam.go.kr/atchFile/FileDown.do?atch_file_id=B_202505241213576251</x:v>
      </x:c>
      <x:c r="M84" s="16" t="str">
        <x:v>C19-S04</x:v>
      </x:c>
      <x:c r="N84" s="27" t="n">
        <x:v>1</x:v>
      </x:c>
      <x:c r="O84" s="16" t="str">
        <x:v>사용자 문제지 PDF</x:v>
      </x:c>
      <x:c r="P84" s="16" t="str">
        <x:v>74회 한국사_문제지(심화).pdf</x:v>
      </x:c>
      <x:c r="Q84" s="27" t="n">
        <x:v>2</x:v>
      </x:c>
    </x:row>
    <x:row r="85" ht="42" customHeight="1">
      <x:c r="A85" s="13" t="str">
        <x:v>official-74-advanced-09</x:v>
      </x:c>
      <x:c r="B85" s="28" t="n">
        <x:v>74</x:v>
      </x:c>
      <x:c r="C85" s="61" t="str">
        <x:v>심화</x:v>
      </x:c>
      <x:c r="D85" s="28" t="n">
        <x:v>9</x:v>
      </x:c>
      <x:c r="E85" s="28" t="n">
        <x:v>2</x:v>
      </x:c>
      <x:c r="F85" s="49" t="str">
        <x:v>선정</x:v>
      </x:c>
      <x:c r="G85" s="13" t="str">
        <x:v>장보고의 무령군 소장 경력과 청해진 사이에 놓일 활동을 고른다</x:v>
      </x:c>
      <x:c r="H85" s="13" t="str">
        <x:v>일반</x:v>
      </x:c>
      <x:c r="I85" s="13" t="str">
        <x:v>당의 무령군 소장 → 빈칸 → 청해진 설치·동아시아 무역 → 왕위 쟁탈전과 암살.</x:v>
      </x:c>
      <x:c r="J85" s="13" t="str">
        <x:v>무령군 소장으로 활동하고 청해진을 설치한 인물은 장보고이다. 그가 산둥반도에 세운 적산 법화원을 고르는 ②가 옳다.</x:v>
      </x:c>
      <x:c r="K85" s="72" t="str">
        <x:v>https://www.historyexam.go.kr/atchFile/FileDown.do?atch_file_id=B_202505241213575190#page=3</x:v>
      </x:c>
      <x:c r="L85" s="72" t="str">
        <x:v>https://www.historyexam.go.kr/atchFile/FileDown.do?atch_file_id=B_202505241213576251</x:v>
      </x:c>
      <x:c r="M85" s="13" t="str">
        <x:v>C18-S07</x:v>
      </x:c>
      <x:c r="N85" s="28" t="n">
        <x:v>4</x:v>
      </x:c>
      <x:c r="O85" s="13" t="str">
        <x:v>사용자 문제지 PDF</x:v>
      </x:c>
      <x:c r="P85" s="13" t="str">
        <x:v>74회 한국사_문제지(심화).pdf</x:v>
      </x:c>
      <x:c r="Q85" s="28" t="n">
        <x:v>3</x:v>
      </x:c>
    </x:row>
    <x:row r="86" ht="53.25" customHeight="1">
      <x:c r="A86" s="16" t="str">
        <x:v>official-74-advanced-10</x:v>
      </x:c>
      <x:c r="B86" s="27" t="n">
        <x:v>74</x:v>
      </x:c>
      <x:c r="C86" s="60" t="str">
        <x:v>심화</x:v>
      </x:c>
      <x:c r="D86" s="27" t="n">
        <x:v>10</x:v>
      </x:c>
      <x:c r="E86" s="27" t="n">
        <x:v>4</x:v>
      </x:c>
      <x:c r="F86" s="49" t="str">
        <x:v>선정</x:v>
      </x:c>
      <x:c r="G86" s="16" t="str">
        <x:v>신라 경순왕의 고려 항복 뒤에 일어난 사건을 고른다</x:v>
      </x:c>
      <x:c r="H86" s="16" t="str">
        <x:v>일반</x:v>
      </x:c>
      <x:c r="I86" s="16" t="str">
        <x:v>경순왕 김부가 고려에 항복하자 신라국을 경주로 삼고 그에게 식읍을 주었다는 대화.</x:v>
      </x:c>
      <x:c r="J86" s="16" t="str">
        <x:v>자료는 신라가 고려에 항복한 상황이다. 그 다음 해 왕건이 일리천에서 신검의 군대를 이겨 후삼국 통일로 이어졌으므로 ④가 옳다.</x:v>
      </x:c>
      <x:c r="K86" s="71" t="str">
        <x:v>https://www.historyexam.go.kr/atchFile/FileDown.do?atch_file_id=B_202505241213575190#page=3</x:v>
      </x:c>
      <x:c r="L86" s="71" t="str">
        <x:v>https://www.historyexam.go.kr/atchFile/FileDown.do?atch_file_id=B_202505241213576251</x:v>
      </x:c>
      <x:c r="M86" s="16" t="str">
        <x:v>C23-S10</x:v>
      </x:c>
      <x:c r="N86" s="27" t="n">
        <x:v>1</x:v>
      </x:c>
      <x:c r="O86" s="16" t="str">
        <x:v>사용자 문제지 PDF</x:v>
      </x:c>
      <x:c r="P86" s="16" t="str">
        <x:v>74회 한국사_문제지(심화).pdf</x:v>
      </x:c>
      <x:c r="Q86" s="27" t="n">
        <x:v>3</x:v>
      </x:c>
    </x:row>
    <x:row r="87" ht="67.5" customHeight="1">
      <x:c r="A87" s="13" t="str">
        <x:v>official-74-advanced-13</x:v>
      </x:c>
      <x:c r="B87" s="28" t="n">
        <x:v>74</x:v>
      </x:c>
      <x:c r="C87" s="61" t="str">
        <x:v>심화</x:v>
      </x:c>
      <x:c r="D87" s="28" t="n">
        <x:v>13</x:v>
      </x:c>
      <x:c r="E87" s="28" t="n">
        <x:v>1</x:v>
      </x:c>
      <x:c r="F87" s="39" t="str">
        <x:v>검토만</x:v>
      </x:c>
      <x:c r="G87" s="13" t="str">
        <x:v>고려 유물을 모은 발표회에서 신라 유물 사진을 골라낸다</x:v>
      </x:c>
      <x:c r="H87" s="65" t="str">
        <x:v>부정형</x:v>
      </x:c>
      <x:c r="I87" s="13" t="str">
        <x:v>부석사 소조여래좌상·청자 모자원숭이 모양 연적·청자 상감운학문 매병을 보고 고려를 식별하게 한다.</x:v>
      </x:c>
      <x:c r="J87" s="13" t="str">
        <x:v>자료의 국가는 고려이지만 ①의 기마 인물형 토기는 신라 금령총 출토 유물이다. 따라서 고려 문화유산으로 적절하지 않은 사진을 찾는 이 문항의 정답은 ①이다. 가야의 기마인물형 뿔잔과 혼동하지 않는다.</x:v>
      </x:c>
      <x:c r="K87" s="72" t="str">
        <x:v>https://www.historyexam.go.kr/atchFile/FileDown.do?atch_file_id=B_202505241213575190#page=4</x:v>
      </x:c>
      <x:c r="L87" s="72" t="str">
        <x:v>https://www.historyexam.go.kr/atchFile/FileDown.do?atch_file_id=B_202505241213576251</x:v>
      </x:c>
      <x:c r="M87" s="13" t="str">
        <x:v>—</x:v>
      </x:c>
      <x:c r="N87" s="28" t="n">
        <x:v>0</x:v>
      </x:c>
      <x:c r="O87" s="13" t="str">
        <x:v>사용자 문제지 PDF</x:v>
      </x:c>
      <x:c r="P87" s="13" t="str">
        <x:v>74회 한국사_문제지(심화).pdf</x:v>
      </x:c>
      <x:c r="Q87" s="28" t="n">
        <x:v>4</x:v>
      </x:c>
    </x:row>
    <x:row r="88" ht="53.25" customHeight="1">
      <x:c r="A88" s="16" t="str">
        <x:v>official-75-basic-02</x:v>
      </x:c>
      <x:c r="B88" s="27" t="n">
        <x:v>75</x:v>
      </x:c>
      <x:c r="C88" s="60" t="str">
        <x:v>기본</x:v>
      </x:c>
      <x:c r="D88" s="27" t="n">
        <x:v>2</x:v>
      </x:c>
      <x:c r="E88" s="27" t="n">
        <x:v>3</x:v>
      </x:c>
      <x:c r="F88" s="49" t="str">
        <x:v>선정</x:v>
      </x:c>
      <x:c r="G88" s="16" t="str">
        <x:v>도림을 백제에 보내고 한성을 함락한 고구려 왕의 업적을 고른다</x:v>
      </x:c>
      <x:c r="H88" s="16" t="str">
        <x:v>일반</x:v>
      </x:c>
      <x:c r="I88" s="16" t="str">
        <x:v>삼국사기 백제본기 개로왕 21년 기사 속 도림 이야기와 광개토대왕의 아들이라는 단서가 제시된다.</x:v>
      </x:c>
      <x:c r="J88" s="16" t="str">
        <x:v>광개토대왕의 아들이며 백제 한성을 함락한 왕은 장수왕이다. 장수왕은 평양으로 수도를 옮겼으므로 ③이 옳다. 도림 이야기는 자료에 인용된 삼국사기의 서술 맥락으로 이해한다.</x:v>
      </x:c>
      <x:c r="K88" s="71" t="str">
        <x:v>https://www.historyexam.go.kr/atchFile/FileDown.do?atch_file_id=B_202508091215519960#page=1</x:v>
      </x:c>
      <x:c r="L88" s="71" t="str">
        <x:v>https://www.historyexam.go.kr/atchFile/FileDown.do?atch_file_id=B_202508091215521851</x:v>
      </x:c>
      <x:c r="M88" s="16" t="str">
        <x:v>C04-S07</x:v>
      </x:c>
      <x:c r="N88" s="27" t="n">
        <x:v>5</x:v>
      </x:c>
      <x:c r="O88" s="16" t="str">
        <x:v>사용자 문제지 PDF</x:v>
      </x:c>
      <x:c r="P88" s="16" t="str">
        <x:v>75회 한국사_문제지(기본).pdf</x:v>
      </x:c>
      <x:c r="Q88" s="27" t="n">
        <x:v>1</x:v>
      </x:c>
    </x:row>
    <x:row r="89" ht="67.5" customHeight="1">
      <x:c r="A89" s="13" t="str">
        <x:v>official-75-basic-04</x:v>
      </x:c>
      <x:c r="B89" s="28" t="n">
        <x:v>75</x:v>
      </x:c>
      <x:c r="C89" s="61" t="str">
        <x:v>기본</x:v>
      </x:c>
      <x:c r="D89" s="28" t="n">
        <x:v>4</x:v>
      </x:c>
      <x:c r="E89" s="28" t="n">
        <x:v>1</x:v>
      </x:c>
      <x:c r="F89" s="39" t="str">
        <x:v>검토만</x:v>
      </x:c>
      <x:c r="G89" s="13" t="str">
        <x:v>고령 지산동 고분군과 연맹 체제를 특징으로 하는 나라의 유물을 고른다</x:v>
      </x:c>
      <x:c r="H89" s="13" t="str">
        <x:v>일반</x:v>
      </x:c>
      <x:c r="I89" s="13" t="str">
        <x:v>고령 지산동을 포함한 7개 고분군이 공통 문화를 공유하면서 자율적인 연맹 체제를 보여 준다고 설명한다.</x:v>
      </x:c>
      <x:c r="J89" s="13" t="str">
        <x:v>고령 지산동 고분군과 자율적인 연맹 체제는 가야를 가리킨다. ①은 가야의 금동관 사진이므로 정답이다. 금동관이라는 일반 명칭만으로 모든 관을 가야 유물로 판단하지 말고 사진과 고분군 단서를 함께 확인해야 한다.</x:v>
      </x:c>
      <x:c r="K89" s="72" t="str">
        <x:v>https://www.historyexam.go.kr/atchFile/FileDown.do?atch_file_id=B_202508091215519960#page=1</x:v>
      </x:c>
      <x:c r="L89" s="72" t="str">
        <x:v>https://www.historyexam.go.kr/atchFile/FileDown.do?atch_file_id=B_202508091215521851</x:v>
      </x:c>
      <x:c r="M89" s="13" t="str">
        <x:v>—</x:v>
      </x:c>
      <x:c r="N89" s="28" t="n">
        <x:v>0</x:v>
      </x:c>
      <x:c r="O89" s="13" t="str">
        <x:v>사용자 문제지 PDF</x:v>
      </x:c>
      <x:c r="P89" s="13" t="str">
        <x:v>75회 한국사_문제지(기본).pdf</x:v>
      </x:c>
      <x:c r="Q89" s="28" t="n">
        <x:v>1</x:v>
      </x:c>
    </x:row>
    <x:row r="90" ht="42" customHeight="1">
      <x:c r="A90" s="16" t="str">
        <x:v>official-75-basic-05</x:v>
      </x:c>
      <x:c r="B90" s="27" t="n">
        <x:v>75</x:v>
      </x:c>
      <x:c r="C90" s="60" t="str">
        <x:v>기본</x:v>
      </x:c>
      <x:c r="D90" s="27" t="n">
        <x:v>5</x:v>
      </x:c>
      <x:c r="E90" s="27" t="n">
        <x:v>2</x:v>
      </x:c>
      <x:c r="F90" s="39" t="str">
        <x:v>검토만</x:v>
      </x:c>
      <x:c r="G90" s="16" t="str">
        <x:v>웅진 시기 백제 유적을 답사할 지역을 지도에서 고른다</x:v>
      </x:c>
      <x:c r="H90" s="16" t="str">
        <x:v>일반</x:v>
      </x:c>
      <x:c r="I90" s="16" t="str">
        <x:v>답사 주제가 백제의 수도 웅진이며 장소가 공산성·무령왕릉·정지산 유적이다. 지도에서 (나)는 공주이다.</x:v>
      </x:c>
      <x:c r="J90" s="16" t="str">
        <x:v>웅진은 오늘날 공주이며 공산성·무령왕릉·정지산 유적이 그곳에 있다. 지도에서 공주를 표시한 (나), 즉 ②가 정답이다.</x:v>
      </x:c>
      <x:c r="K90" s="71" t="str">
        <x:v>https://www.historyexam.go.kr/atchFile/FileDown.do?atch_file_id=B_202508091215519960#page=2</x:v>
      </x:c>
      <x:c r="L90" s="71" t="str">
        <x:v>https://www.historyexam.go.kr/atchFile/FileDown.do?atch_file_id=B_202508091215521851</x:v>
      </x:c>
      <x:c r="M90" s="16" t="str">
        <x:v>—</x:v>
      </x:c>
      <x:c r="N90" s="27" t="n">
        <x:v>0</x:v>
      </x:c>
      <x:c r="O90" s="16" t="str">
        <x:v>사용자 문제지 PDF</x:v>
      </x:c>
      <x:c r="P90" s="16" t="str">
        <x:v>75회 한국사_문제지(기본).pdf</x:v>
      </x:c>
      <x:c r="Q90" s="27" t="n">
        <x:v>2</x:v>
      </x:c>
    </x:row>
    <x:row r="91" ht="67.5" customHeight="1">
      <x:c r="A91" s="13" t="str">
        <x:v>official-75-basic-06</x:v>
      </x:c>
      <x:c r="B91" s="28" t="n">
        <x:v>75</x:v>
      </x:c>
      <x:c r="C91" s="61" t="str">
        <x:v>기본</x:v>
      </x:c>
      <x:c r="D91" s="28" t="n">
        <x:v>6</x:v>
      </x:c>
      <x:c r="E91" s="28" t="n">
        <x:v>3</x:v>
      </x:c>
      <x:c r="F91" s="49" t="str">
        <x:v>선정</x:v>
      </x:c>
      <x:c r="G91" s="13" t="str">
        <x:v>흥덕왕 대 골품에 따른 옷감 사용 규정이 있던 국가의 제도를 고른다</x:v>
      </x:c>
      <x:c r="H91" s="13" t="str">
        <x:v>일반</x:v>
      </x:c>
      <x:c r="I91" s="13" t="str">
        <x:v>진골·6두품·5두품·4두품·평민의 남녀에게 허용된 포의 품질을 구분한 복식 규정 표가 제시된다.</x:v>
      </x:c>
      <x:c r="J91" s="13" t="str">
        <x:v>흥덕왕과 골품별 복식 규정은 신라의 자료이다. 신라는 교육 기관인 국학을 두었으므로 ③이 옳다. 국학은 신문왕 때 세워졌으며, 자료에 흥덕왕이 나온다고 흥덕왕이 국학을 설립한 것으로 연결하면 안 된다.</x:v>
      </x:c>
      <x:c r="K91" s="72" t="str">
        <x:v>https://www.historyexam.go.kr/atchFile/FileDown.do?atch_file_id=B_202508091215519960#page=2</x:v>
      </x:c>
      <x:c r="L91" s="72" t="str">
        <x:v>https://www.historyexam.go.kr/atchFile/FileDown.do?atch_file_id=B_202508091215521851</x:v>
      </x:c>
      <x:c r="M91" s="13" t="str">
        <x:v>C16-S03</x:v>
      </x:c>
      <x:c r="N91" s="28" t="n">
        <x:v>2</x:v>
      </x:c>
      <x:c r="O91" s="13" t="str">
        <x:v>사용자 문제지 PDF</x:v>
      </x:c>
      <x:c r="P91" s="13" t="str">
        <x:v>75회 한국사_문제지(기본).pdf</x:v>
      </x:c>
      <x:c r="Q91" s="28" t="n">
        <x:v>2</x:v>
      </x:c>
    </x:row>
    <x:row r="92" ht="67.5" customHeight="1">
      <x:c r="A92" s="16" t="str">
        <x:v>official-75-basic-07</x:v>
      </x:c>
      <x:c r="B92" s="27" t="n">
        <x:v>75</x:v>
      </x:c>
      <x:c r="C92" s="60" t="str">
        <x:v>기본</x:v>
      </x:c>
      <x:c r="D92" s="27" t="n">
        <x:v>7</x:v>
      </x:c>
      <x:c r="E92" s="27" t="n">
        <x:v>1</x:v>
      </x:c>
      <x:c r="F92" s="49" t="str">
        <x:v>선정</x:v>
      </x:c>
      <x:c r="G92" s="16" t="str">
        <x:v>정림사지 오층 석탑에 새겨진 당의 백제 정복 명문과 관련된 탐구 활동을 고른다</x:v>
      </x:c>
      <x:c r="H92" s="16" t="str">
        <x:v>일반</x:v>
      </x:c>
      <x:c r="I92" s="16" t="str">
        <x:v>탑의 1층 몸돌에 소정방의 백제 멸망 공적이 새겨져 이 탑이 한때 평제탑으로 불렸다는 설명과 명문 확대 사진.</x:v>
      </x:c>
      <x:c r="J92" s="16" t="str">
        <x:v>명문은 당의 소정방이 백제를 멸망시킨 일을 기록하므로 나당 연합군의 활동을 조사하는 ①이 적절하다. 정림사지 오층 석탑은 백제의 탑이며, 당이 백제 정복을 기념하려 새로 세운 탑이라는 뜻이 아니다.</x:v>
      </x:c>
      <x:c r="K92" s="71" t="str">
        <x:v>https://www.historyexam.go.kr/atchFile/FileDown.do?atch_file_id=B_202508091215519960#page=2</x:v>
      </x:c>
      <x:c r="L92" s="71" t="str">
        <x:v>https://www.historyexam.go.kr/atchFile/FileDown.do?atch_file_id=B_202508091215521851</x:v>
      </x:c>
      <x:c r="M92" s="16" t="str">
        <x:v>C09-S07</x:v>
      </x:c>
      <x:c r="N92" s="27" t="n">
        <x:v>1</x:v>
      </x:c>
      <x:c r="O92" s="16" t="str">
        <x:v>사용자 문제지 PDF</x:v>
      </x:c>
      <x:c r="P92" s="16" t="str">
        <x:v>75회 한국사_문제지(기본).pdf</x:v>
      </x:c>
      <x:c r="Q92" s="27" t="n">
        <x:v>2</x:v>
      </x:c>
    </x:row>
    <x:row r="93" ht="53.25" customHeight="1">
      <x:c r="A93" s="13" t="str">
        <x:v>official-75-basic-08</x:v>
      </x:c>
      <x:c r="B93" s="28" t="n">
        <x:v>75</x:v>
      </x:c>
      <x:c r="C93" s="61" t="str">
        <x:v>기본</x:v>
      </x:c>
      <x:c r="D93" s="28" t="n">
        <x:v>8</x:v>
      </x:c>
      <x:c r="E93" s="28" t="n">
        <x:v>4</x:v>
      </x:c>
      <x:c r="F93" s="49" t="str">
        <x:v>선정</x:v>
      </x:c>
      <x:c r="G93" s="13" t="str">
        <x:v>장보고의 활동을 다루는 강좌 제목으로 적절한 내용을 고른다</x:v>
      </x:c>
      <x:c r="H93" s="13" t="str">
        <x:v>일반</x:v>
      </x:c>
      <x:c r="I93" s="13" t="str">
        <x:v>강좌 제목이 신라인 장보고이며, 산둥반도 적산법화원 건립과 일본 승려 엔닌의 구법 활동 지원이 제시된다.</x:v>
      </x:c>
      <x:c r="J93" s="13" t="str">
        <x:v>장보고는 청해진을 중심으로 동아시아 해상 무역에서 활동하였다. 적산법화원과 엔닌의 구법 활동이라는 자료의 단서도 장보고와 연결되므로 ④가 적절하다.</x:v>
      </x:c>
      <x:c r="K93" s="72" t="str">
        <x:v>https://www.historyexam.go.kr/atchFile/FileDown.do?atch_file_id=B_202508091215519960#page=2</x:v>
      </x:c>
      <x:c r="L93" s="72" t="str">
        <x:v>https://www.historyexam.go.kr/atchFile/FileDown.do?atch_file_id=B_202508091215521851</x:v>
      </x:c>
      <x:c r="M93" s="13" t="str">
        <x:v>C18-S03</x:v>
      </x:c>
      <x:c r="N93" s="28" t="n">
        <x:v>5</x:v>
      </x:c>
      <x:c r="O93" s="13" t="str">
        <x:v>사용자 문제지 PDF</x:v>
      </x:c>
      <x:c r="P93" s="13" t="str">
        <x:v>75회 한국사_문제지(기본).pdf</x:v>
      </x:c>
      <x:c r="Q93" s="28" t="n">
        <x:v>2</x:v>
      </x:c>
    </x:row>
    <x:row r="94" ht="53.25" customHeight="1">
      <x:c r="A94" s="16" t="str">
        <x:v>official-75-basic-09</x:v>
      </x:c>
      <x:c r="B94" s="27" t="n">
        <x:v>75</x:v>
      </x:c>
      <x:c r="C94" s="60" t="str">
        <x:v>기본</x:v>
      </x:c>
      <x:c r="D94" s="27" t="n">
        <x:v>9</x:v>
      </x:c>
      <x:c r="E94" s="27" t="n">
        <x:v>4</x:v>
      </x:c>
      <x:c r="F94" s="49" t="str">
        <x:v>선정</x:v>
      </x:c>
      <x:c r="G94" s="16" t="str">
        <x:v>대조영이 건국하고 5경 15부 62주를 둔 국가의 특징을 고른다</x:v>
      </x:c>
      <x:c r="H94" s="16" t="str">
        <x:v>일반</x:v>
      </x:c>
      <x:c r="I94" s="16" t="str">
        <x:v>김정호의 대동지지가 대조영이 건국한 나라를 신라와 함께 남북국으로 서술하고 5경 15부 62주의 위치를 기록했다는 설명.</x:v>
      </x:c>
      <x:c r="J94" s="16" t="str">
        <x:v>대조영의 건국과 5경 15부 62주는 발해를 가리킨다. 발해는 해동성국이라고 불렸으므로 ④가 옳다. 자료에 나열된 지방 제도가 건국 직후 모두 완성되었다고 해석하지 않는다.</x:v>
      </x:c>
      <x:c r="K94" s="71" t="str">
        <x:v>https://www.historyexam.go.kr/atchFile/FileDown.do?atch_file_id=B_202508091215519960#page=3</x:v>
      </x:c>
      <x:c r="L94" s="71" t="str">
        <x:v>https://www.historyexam.go.kr/atchFile/FileDown.do?atch_file_id=B_202508091215521851</x:v>
      </x:c>
      <x:c r="M94" s="16" t="str">
        <x:v>C21-S10</x:v>
      </x:c>
      <x:c r="N94" s="27" t="n">
        <x:v>2</x:v>
      </x:c>
      <x:c r="O94" s="16" t="str">
        <x:v>사용자 문제지 PDF</x:v>
      </x:c>
      <x:c r="P94" s="16" t="str">
        <x:v>75회 한국사_문제지(기본).pdf</x:v>
      </x:c>
      <x:c r="Q94" s="27" t="n">
        <x:v>3</x:v>
      </x:c>
    </x:row>
    <x:row r="95" ht="67.5" customHeight="1">
      <x:c r="A95" s="13" t="str">
        <x:v>official-75-basic-12</x:v>
      </x:c>
      <x:c r="B95" s="28" t="n">
        <x:v>75</x:v>
      </x:c>
      <x:c r="C95" s="61" t="str">
        <x:v>기본</x:v>
      </x:c>
      <x:c r="D95" s="28" t="n">
        <x:v>12</x:v>
      </x:c>
      <x:c r="E95" s="28" t="n">
        <x:v>3</x:v>
      </x:c>
      <x:c r="F95" s="39" t="str">
        <x:v>검토만</x:v>
      </x:c>
      <x:c r="G95" s="13" t="str">
        <x:v>후삼국을 통일하고 개태사를 세운 왕의 정책을 고른다</x:v>
      </x:c>
      <x:c r="H95" s="13" t="str">
        <x:v>일반</x:v>
      </x:c>
      <x:c r="I95" s="13" t="str">
        <x:v>개태사 특별 기획전 안내에 해당 왕이 후삼국을 통일한 뒤 사찰을 창건했다는 설명이 있다.</x:v>
      </x:c>
      <x:c r="J95" s="13" t="str">
        <x:v>후삼국을 통일하고 개태사를 세운 왕은 고려 태조 왕건이다. 왕건은 사심관 제도를 시행했으므로 ③이 옳다. 과거제는 광종, 농사직설은 조선 세종, 북한산 순수비는 신라 진흥왕과 관련된다.</x:v>
      </x:c>
      <x:c r="K95" s="72" t="str">
        <x:v>https://www.historyexam.go.kr/atchFile/FileDown.do?atch_file_id=B_202508091215519960#page=3</x:v>
      </x:c>
      <x:c r="L95" s="72" t="str">
        <x:v>https://www.historyexam.go.kr/atchFile/FileDown.do?atch_file_id=B_202508091215521851</x:v>
      </x:c>
      <x:c r="M95" s="13" t="str">
        <x:v>—</x:v>
      </x:c>
      <x:c r="N95" s="28" t="n">
        <x:v>0</x:v>
      </x:c>
      <x:c r="O95" s="13" t="str">
        <x:v>사용자 문제지 PDF</x:v>
      </x:c>
      <x:c r="P95" s="13" t="str">
        <x:v>75회 한국사_문제지(기본).pdf</x:v>
      </x:c>
      <x:c r="Q95" s="28" t="n">
        <x:v>3</x:v>
      </x:c>
    </x:row>
    <x:row r="96" ht="53.25" customHeight="1">
      <x:c r="A96" s="16" t="str">
        <x:v>official-76-advanced-02</x:v>
      </x:c>
      <x:c r="B96" s="27" t="n">
        <x:v>76</x:v>
      </x:c>
      <x:c r="C96" s="60" t="str">
        <x:v>심화</x:v>
      </x:c>
      <x:c r="D96" s="27" t="n">
        <x:v>2</x:v>
      </x:c>
      <x:c r="E96" s="27" t="n">
        <x:v>2</x:v>
      </x:c>
      <x:c r="F96" s="39" t="str">
        <x:v>검토만</x:v>
      </x:c>
      <x:c r="G96" s="16" t="str">
        <x:v>고구려의 정치 조직·혼인 풍습을 단서로 동맹을 고르는 문항</x:v>
      </x:c>
      <x:c r="H96" s="16" t="str">
        <x:v>일반</x:v>
      </x:c>
      <x:c r="I96" s="16" t="str">
        <x:v>5부 가운데 계루부에서 왕이 나옴 · 상가·대로·패자 등의 관직 · 혼인할 때 여자 집에 서옥을 지음</x:v>
      </x:c>
      <x:c r="J96" s="16" t="str">
        <x:v>계루부·상가·서옥은 고구려의 단서다. 해당 국가의 10월 제천 행사는 동맹이므로 ②가 정답이다. 소도·책화·범금 8조·화백 회의는 다른 사회의 제도와 풍습이다.</x:v>
      </x:c>
      <x:c r="K96" s="71" t="str">
        <x:v>https://www.historyexam.go.kr/atchFile/FileDown.do?atch_file_id=B_202510180138534030#page=1</x:v>
      </x:c>
      <x:c r="L96" s="71" t="str">
        <x:v>https://www.historyexam.go.kr/atchFile/FileDown.do?atch_file_id=B_202510180138535251</x:v>
      </x:c>
      <x:c r="M96" s="16" t="str">
        <x:v>—</x:v>
      </x:c>
      <x:c r="N96" s="27" t="n">
        <x:v>0</x:v>
      </x:c>
      <x:c r="O96" s="16" t="str">
        <x:v>사용자 문제지 PDF</x:v>
      </x:c>
      <x:c r="P96" s="16" t="str">
        <x:v>76회 한국사_문제지(심화).pdf</x:v>
      </x:c>
      <x:c r="Q96" s="27" t="n">
        <x:v>1</x:v>
      </x:c>
    </x:row>
    <x:row r="97" ht="67.5" customHeight="1">
      <x:c r="A97" s="13" t="str">
        <x:v>official-76-advanced-03</x:v>
      </x:c>
      <x:c r="B97" s="28" t="n">
        <x:v>76</x:v>
      </x:c>
      <x:c r="C97" s="61" t="str">
        <x:v>심화</x:v>
      </x:c>
      <x:c r="D97" s="28" t="n">
        <x:v>3</x:v>
      </x:c>
      <x:c r="E97" s="28" t="n">
        <x:v>3</x:v>
      </x:c>
      <x:c r="F97" s="49" t="str">
        <x:v>선정</x:v>
      </x:c>
      <x:c r="G97" s="13" t="str">
        <x:v>근초고왕의 평양성 공격, 장수왕의 한성 함락, 성왕의 관산성 전사를 순서대로 배열</x:v>
      </x:c>
      <x:c r="H97" s="13" t="str">
        <x:v>일반</x:v>
      </x:c>
      <x:c r="I97" s="13" t="str">
        <x:v>(가) 거련의 백제 공격과 백제왕 경의 죽음 · (나) 백제 정예군 3만 명의 평양성 공격과 고구려왕 사유의 전사 · (다) 명농의 관산성 공격과 죽음</x:v>
      </x:c>
      <x:c r="J97" s="13" t="str">
        <x:v>(나)는 근초고왕이 평양성을 공격하여 고국원왕이 전사한 371년, (가)는 장수왕이 한성을 함락하고 개로왕이 죽은 475년, (다)는 성왕이 관산성에서 전사한 554년이다. 따라서 ③의 순서가 맞다.</x:v>
      </x:c>
      <x:c r="K97" s="72" t="str">
        <x:v>https://www.historyexam.go.kr/atchFile/FileDown.do?atch_file_id=B_202510180138534030#page=1</x:v>
      </x:c>
      <x:c r="L97" s="72" t="str">
        <x:v>https://www.historyexam.go.kr/atchFile/FileDown.do?atch_file_id=B_202510180138535251</x:v>
      </x:c>
      <x:c r="M97" s="13" t="str">
        <x:v>C12-S04</x:v>
      </x:c>
      <x:c r="N97" s="28" t="n">
        <x:v>4</x:v>
      </x:c>
      <x:c r="O97" s="13" t="str">
        <x:v>사용자 문제지 PDF</x:v>
      </x:c>
      <x:c r="P97" s="13" t="str">
        <x:v>76회 한국사_문제지(심화).pdf</x:v>
      </x:c>
      <x:c r="Q97" s="28" t="n">
        <x:v>1</x:v>
      </x:c>
    </x:row>
    <x:row r="98" ht="67.5" customHeight="1">
      <x:c r="A98" s="16" t="str">
        <x:v>official-76-advanced-04</x:v>
      </x:c>
      <x:c r="B98" s="27" t="n">
        <x:v>76</x:v>
      </x:c>
      <x:c r="C98" s="60" t="str">
        <x:v>심화</x:v>
      </x:c>
      <x:c r="D98" s="27" t="n">
        <x:v>4</x:v>
      </x:c>
      <x:c r="E98" s="27" t="n">
        <x:v>1</x:v>
      </x:c>
      <x:c r="F98" s="49" t="str">
        <x:v>선정</x:v>
      </x:c>
      <x:c r="G98" s="16" t="str">
        <x:v>백제 금동 대향로를 단서로 백제 산수무늬 벽돌 사진을 판별</x:v>
      </x:c>
      <x:c r="H98" s="16" t="str">
        <x:v>일반</x:v>
      </x:c>
      <x:c r="I98" s="16" t="str">
        <x:v>부여 능산리에서 발견된 금동 대향로 · 연꽃 몸체·산봉우리 뚜껑·꼭대기의 봉황 · 자료가 불교와 도교 요소의 복합 표현을 설명함</x:v>
      </x:c>
      <x:c r="J98" s="16" t="str">
        <x:v>금동 대향로의 제작 국가는 백제다. 정답 ①은 산수무늬 벽돌 사진으로, 백제의 문화유산에 해당한다. 원문에는 유물 이름을 적은 문자 선지가 없으므로 사진을 명칭으로 바꾸어 인용하지 않는다.</x:v>
      </x:c>
      <x:c r="K98" s="71" t="str">
        <x:v>https://www.historyexam.go.kr/atchFile/FileDown.do?atch_file_id=B_202510180138534030#page=1</x:v>
      </x:c>
      <x:c r="L98" s="71" t="str">
        <x:v>https://www.historyexam.go.kr/atchFile/FileDown.do?atch_file_id=B_202510180138535251</x:v>
      </x:c>
      <x:c r="M98" s="16" t="str">
        <x:v>C09-S02</x:v>
      </x:c>
      <x:c r="N98" s="27" t="n">
        <x:v>1</x:v>
      </x:c>
      <x:c r="O98" s="16" t="str">
        <x:v>사용자 문제지 PDF</x:v>
      </x:c>
      <x:c r="P98" s="16" t="str">
        <x:v>76회 한국사_문제지(심화).pdf</x:v>
      </x:c>
      <x:c r="Q98" s="27" t="n">
        <x:v>1</x:v>
      </x:c>
    </x:row>
    <x:row r="99" ht="67.5" customHeight="1">
      <x:c r="A99" s="13" t="str">
        <x:v>official-76-advanced-05</x:v>
      </x:c>
      <x:c r="B99" s="28" t="n">
        <x:v>76</x:v>
      </x:c>
      <x:c r="C99" s="61" t="str">
        <x:v>심화</x:v>
      </x:c>
      <x:c r="D99" s="28" t="n">
        <x:v>5</x:v>
      </x:c>
      <x:c r="E99" s="28" t="n">
        <x:v>4</x:v>
      </x:c>
      <x:c r="F99" s="49" t="str">
        <x:v>선정</x:v>
      </x:c>
      <x:c r="G99" s="13" t="str">
        <x:v>신라 촌락 문서를 식별하고 청해진 해상 무역과 연결</x:v>
      </x:c>
      <x:c r="H99" s="13" t="str">
        <x:v>일반</x:v>
      </x:c>
      <x:c r="I99" s="13" t="str">
        <x:v>일본 도다이사 쇼소인에서 발견된 촌락 문서 · 서원경 부근 4개 촌락의 인구·토지 정보 · 조세 수취와 노동력 동원을 위한 기록이며 소·말·뽕나무·잣나무 수도 기록</x:v>
      </x:c>
      <x:c r="J99" s="13" t="str">
        <x:v>자료의 촌락 문서는 통일신라의 문서다. 인구·토지·가축 등을 파악한 행정 자료로 국가를 식별한 뒤, 같은 시대 경제의 특징인 청해진 해상 무역을 고른다. 문서 자체에 청해진 무역이 적혀 있다는 뜻은 아니다.</x:v>
      </x:c>
      <x:c r="K99" s="72" t="str">
        <x:v>https://www.historyexam.go.kr/atchFile/FileDown.do?atch_file_id=B_202510180138534030#page=2</x:v>
      </x:c>
      <x:c r="L99" s="72" t="str">
        <x:v>https://www.historyexam.go.kr/atchFile/FileDown.do?atch_file_id=B_202510180138535251</x:v>
      </x:c>
      <x:c r="M99" s="13" t="str">
        <x:v>C18-S03</x:v>
      </x:c>
      <x:c r="N99" s="28" t="n">
        <x:v>3</x:v>
      </x:c>
      <x:c r="O99" s="13" t="str">
        <x:v>사용자 문제지 PDF</x:v>
      </x:c>
      <x:c r="P99" s="13" t="str">
        <x:v>76회 한국사_문제지(심화).pdf</x:v>
      </x:c>
      <x:c r="Q99" s="28" t="n">
        <x:v>2</x:v>
      </x:c>
    </x:row>
    <x:row r="100" ht="53.25" customHeight="1">
      <x:c r="A100" s="16" t="str">
        <x:v>official-76-advanced-06</x:v>
      </x:c>
      <x:c r="B100" s="27" t="n">
        <x:v>76</x:v>
      </x:c>
      <x:c r="C100" s="60" t="str">
        <x:v>심화</x:v>
      </x:c>
      <x:c r="D100" s="27" t="n">
        <x:v>6</x:v>
      </x:c>
      <x:c r="E100" s="27" t="n">
        <x:v>2</x:v>
      </x:c>
      <x:c r="F100" s="49" t="str">
        <x:v>선정</x:v>
      </x:c>
      <x:c r="G100" s="16" t="str">
        <x:v>국학·9주·통합 군대로 신문왕을 식별하고 관료전·녹읍 개혁을 선택</x:v>
      </x:c>
      <x:c r="H100" s="16" t="str">
        <x:v>일반</x:v>
      </x:c>
      <x:c r="I100" s="16" t="str">
        <x:v>국학 설치 · 전국을 9주로 정비 · 고구려·백제·말갈인을 포함한 군대</x:v>
      </x:c>
      <x:c r="J100" s="16" t="str">
        <x:v>세 단서는 신문왕의 통치 체제 정비를 가리킨다. 신문왕은 관료전을 지급하고 녹읍을 폐지했으므로 ②가 맞다. 국학과 독서삼품과의 시행 왕을 구별해야 한다.</x:v>
      </x:c>
      <x:c r="K100" s="71" t="str">
        <x:v>https://www.historyexam.go.kr/atchFile/FileDown.do?atch_file_id=B_202510180138534030#page=2</x:v>
      </x:c>
      <x:c r="L100" s="71" t="str">
        <x:v>https://www.historyexam.go.kr/atchFile/FileDown.do?atch_file_id=B_202510180138535251</x:v>
      </x:c>
      <x:c r="M100" s="16" t="str">
        <x:v>C16-S08</x:v>
      </x:c>
      <x:c r="N100" s="27" t="n">
        <x:v>10</x:v>
      </x:c>
      <x:c r="O100" s="16" t="str">
        <x:v>사용자 문제지 PDF</x:v>
      </x:c>
      <x:c r="P100" s="16" t="str">
        <x:v>76회 한국사_문제지(심화).pdf</x:v>
      </x:c>
      <x:c r="Q100" s="27" t="n">
        <x:v>2</x:v>
      </x:c>
    </x:row>
    <x:row r="101" ht="53.25" customHeight="1">
      <x:c r="A101" s="13" t="str">
        <x:v>official-76-advanced-07</x:v>
      </x:c>
      <x:c r="B101" s="28" t="n">
        <x:v>76</x:v>
      </x:c>
      <x:c r="C101" s="61" t="str">
        <x:v>심화</x:v>
      </x:c>
      <x:c r="D101" s="28" t="n">
        <x:v>7</x:v>
      </x:c>
      <x:c r="E101" s="28" t="n">
        <x:v>4</x:v>
      </x:c>
      <x:c r="F101" s="49" t="str">
        <x:v>선정</x:v>
      </x:c>
      <x:c r="G101" s="13" t="str">
        <x:v>의상의 관음 신앙·부석사 활동을 알아보고 화엄일승법계도를 연결</x:v>
      </x:c>
      <x:c r="H101" s="13" t="str">
        <x:v>일반</x:v>
      </x:c>
      <x:c r="I101" s="13" t="str">
        <x:v>진골 출신의 신라 승려로 당 유학 · 백화도량발원문·낙산사·관세음보살 · 부석사를 비롯한 사찰 창건과 제자 양성</x:v>
      </x:c>
      <x:c r="J101" s="13" t="str">
        <x:v>자료의 인물은 의상이다. 관음 신앙과 부석사 창건의 단서를 화엄 사상과 법계도 작성에 연결하면 ④를 고를 수 있다. 원효의 대승기신론소와 구별한다.</x:v>
      </x:c>
      <x:c r="K101" s="72" t="str">
        <x:v>https://www.historyexam.go.kr/atchFile/FileDown.do?atch_file_id=B_202510180138534030#page=2</x:v>
      </x:c>
      <x:c r="L101" s="72" t="str">
        <x:v>https://www.historyexam.go.kr/atchFile/FileDown.do?atch_file_id=B_202510180138535251</x:v>
      </x:c>
      <x:c r="M101" s="13" t="str">
        <x:v>추가 후보만</x:v>
      </x:c>
      <x:c r="N101" s="28" t="n">
        <x:v>1</x:v>
      </x:c>
      <x:c r="O101" s="13" t="str">
        <x:v>사용자 문제지 PDF</x:v>
      </x:c>
      <x:c r="P101" s="13" t="str">
        <x:v>76회 한국사_문제지(심화).pdf</x:v>
      </x:c>
      <x:c r="Q101" s="28" t="n">
        <x:v>2</x:v>
      </x:c>
    </x:row>
    <x:row r="102" ht="53.25" customHeight="1">
      <x:c r="A102" s="16" t="str">
        <x:v>official-76-advanced-08</x:v>
      </x:c>
      <x:c r="B102" s="27" t="n">
        <x:v>76</x:v>
      </x:c>
      <x:c r="C102" s="60" t="str">
        <x:v>심화</x:v>
      </x:c>
      <x:c r="D102" s="27" t="n">
        <x:v>8</x:v>
      </x:c>
      <x:c r="E102" s="27" t="n">
        <x:v>3</x:v>
      </x:c>
      <x:c r="F102" s="39" t="str">
        <x:v>검토만</x:v>
      </x:c>
      <x:c r="G102" s="16" t="str">
        <x:v>당에서 벌어진 신라·발해 자리 다툼 자료로 발해를 식별하고 지방 제도를 선택</x:v>
      </x:c>
      <x:c r="H102" s="16" t="str">
        <x:v>일반</x:v>
      </x:c>
      <x:c r="I102" s="16" t="str">
        <x:v>최치원이 쓰는 표문 · 왕자 대봉예가 신라보다 높은 자리를 요청 · 당 황제에게 사행 순서를 바로잡은 일에 관해 서술</x:v>
      </x:c>
      <x:c r="J102" s="16" t="str">
        <x:v>대봉예가 속한 나라는 발해다. 발해의 지방 행정 제도인 5경 15부 62주를 고른다. 최치원이 등장한다는 이유만으로 빈칸 국가를 신라로 읽으면 안 된다.</x:v>
      </x:c>
      <x:c r="K102" s="71" t="str">
        <x:v>https://www.historyexam.go.kr/atchFile/FileDown.do?atch_file_id=B_202510180138534030#page=2</x:v>
      </x:c>
      <x:c r="L102" s="71" t="str">
        <x:v>https://www.historyexam.go.kr/atchFile/FileDown.do?atch_file_id=B_202510180138535251</x:v>
      </x:c>
      <x:c r="M102" s="16" t="str">
        <x:v>—</x:v>
      </x:c>
      <x:c r="N102" s="27" t="n">
        <x:v>0</x:v>
      </x:c>
      <x:c r="O102" s="16" t="str">
        <x:v>사용자 문제지 PDF</x:v>
      </x:c>
      <x:c r="P102" s="16" t="str">
        <x:v>76회 한국사_문제지(심화).pdf</x:v>
      </x:c>
      <x:c r="Q102" s="27" t="n">
        <x:v>2</x:v>
      </x:c>
    </x:row>
    <x:row r="103" ht="67.5" customHeight="1">
      <x:c r="A103" s="13" t="str">
        <x:v>official-76-advanced-09</x:v>
      </x:c>
      <x:c r="B103" s="28" t="n">
        <x:v>76</x:v>
      </x:c>
      <x:c r="C103" s="61" t="str">
        <x:v>심화</x:v>
      </x:c>
      <x:c r="D103" s="28" t="n">
        <x:v>9</x:v>
      </x:c>
      <x:c r="E103" s="28" t="n">
        <x:v>2</x:v>
      </x:c>
      <x:c r="F103" s="49" t="str">
        <x:v>선정</x:v>
      </x:c>
      <x:c r="G103" s="13" t="str">
        <x:v>혜공왕 피살에서 원종·애노 봉기 사이의 사건으로 김헌창의 난을 선택</x:v>
      </x:c>
      <x:c r="H103" s="13" t="str">
        <x:v>일반</x:v>
      </x:c>
      <x:c r="I103" s="13" t="str">
        <x:v>왼쪽: 김지정의 반란으로 시해된 왕의 시호를 혜공으로 정함 · 오른쪽: 사벌주 농민과 원종이 조세 독촉에 맞서 함께 봉기</x:v>
      </x:c>
      <x:c r="J103" s="13" t="str">
        <x:v>제시된 양 끝은 780년 혜공왕 피살과 889년 원종·애노의 봉기다. 김헌창의 난은 822년에 일어났으므로 그 사이에 해당한다. 귀족의 반란과 농민 봉기의 주체를 같은 집단으로 처리하지 않는다.</x:v>
      </x:c>
      <x:c r="K103" s="72" t="str">
        <x:v>https://www.historyexam.go.kr/atchFile/FileDown.do?atch_file_id=B_202510180138534030#page=3</x:v>
      </x:c>
      <x:c r="L103" s="72" t="str">
        <x:v>https://www.historyexam.go.kr/atchFile/FileDown.do?atch_file_id=B_202510180138535251</x:v>
      </x:c>
      <x:c r="M103" s="13" t="str">
        <x:v>추가 후보만</x:v>
      </x:c>
      <x:c r="N103" s="28" t="n">
        <x:v>1</x:v>
      </x:c>
      <x:c r="O103" s="13" t="str">
        <x:v>사용자 문제지 PDF</x:v>
      </x:c>
      <x:c r="P103" s="13" t="str">
        <x:v>76회 한국사_문제지(심화).pdf</x:v>
      </x:c>
      <x:c r="Q103" s="28" t="n">
        <x:v>3</x:v>
      </x:c>
    </x:row>
    <x:row r="104" ht="53.25" customHeight="1">
      <x:c r="A104" s="16" t="str">
        <x:v>official-76-advanced-10</x:v>
      </x:c>
      <x:c r="B104" s="27" t="n">
        <x:v>76</x:v>
      </x:c>
      <x:c r="C104" s="60" t="str">
        <x:v>심화</x:v>
      </x:c>
      <x:c r="D104" s="27" t="n">
        <x:v>10</x:v>
      </x:c>
      <x:c r="E104" s="27" t="n">
        <x:v>2</x:v>
      </x:c>
      <x:c r="F104" s="39" t="str">
        <x:v>검토만</x:v>
      </x:c>
      <x:c r="G104" s="16" t="str">
        <x:v>견훤의 금산사 탈출·고려 귀부 이후 일리천 전투의 순서를 확인</x:v>
      </x:c>
      <x:c r="H104" s="16" t="str">
        <x:v>일반</x:v>
      </x:c>
      <x:c r="I104" s="16" t="str">
        <x:v>견훤이 금산사에 갇힌 지 3개월 만에 탈출 · 금성으로 가서 왕건을 만나기를 청함 · 유금필·왕만세가 견훤을 맞이함</x:v>
      </x:c>
      <x:c r="J104" s="16" t="str">
        <x:v>자료는 935년 견훤이 금산사를 탈출하여 고려로 귀부하는 상황이다. 이후 936년 일리천에서 신검의 군대가 패배한다. 공산·고창 전투와 경애왕의 죽음은 자료보다 앞선 사건이다.</x:v>
      </x:c>
      <x:c r="K104" s="71" t="str">
        <x:v>https://www.historyexam.go.kr/atchFile/FileDown.do?atch_file_id=B_202510180138534030#page=3</x:v>
      </x:c>
      <x:c r="L104" s="71" t="str">
        <x:v>https://www.historyexam.go.kr/atchFile/FileDown.do?atch_file_id=B_202510180138535251</x:v>
      </x:c>
      <x:c r="M104" s="16" t="str">
        <x:v>—</x:v>
      </x:c>
      <x:c r="N104" s="27" t="n">
        <x:v>0</x:v>
      </x:c>
      <x:c r="O104" s="16" t="str">
        <x:v>사용자 문제지 PDF</x:v>
      </x:c>
      <x:c r="P104" s="16" t="str">
        <x:v>76회 한국사_문제지(심화).pdf</x:v>
      </x:c>
      <x:c r="Q104" s="27" t="n">
        <x:v>3</x:v>
      </x:c>
    </x:row>
    <x:row r="105" ht="67.5" customHeight="1">
      <x:c r="A105" s="13" t="str">
        <x:v>official-77-advanced-04</x:v>
      </x:c>
      <x:c r="B105" s="28" t="n">
        <x:v>77</x:v>
      </x:c>
      <x:c r="C105" s="61" t="str">
        <x:v>심화</x:v>
      </x:c>
      <x:c r="D105" s="28" t="n">
        <x:v>4</x:v>
      </x:c>
      <x:c r="E105" s="28" t="n">
        <x:v>4</x:v>
      </x:c>
      <x:c r="F105" s="39" t="str">
        <x:v>검토만</x:v>
      </x:c>
      <x:c r="G105" s="13" t="str">
        <x:v>천마총 천마도·금령총 말다래의 국가를 식별하고 신라 관 장식을 판별</x:v>
      </x:c>
      <x:c r="H105" s="13" t="str">
        <x:v>일반</x:v>
      </x:c>
      <x:c r="I105" s="13" t="str">
        <x:v>경주 천마총 장니 천마도 · 금령총 천마무늬 말다래 · 국가의 수도에서 발굴된 유물이라는 설명</x:v>
      </x:c>
      <x:c r="J105" s="13" t="str">
        <x:v>경주 천마총과 금령총은 신라의 고분이다. 정답 ④는 천마총 출토 금제 새날개모양금관장식 사진이다. 목걸이가 아니라 관모 앞에 꽂는 관식이며, 글자 선지가 아닌 사진을 직접 식별해야 한다.</x:v>
      </x:c>
      <x:c r="K105" s="72" t="str">
        <x:v>https://www.historyexam.go.kr/atchFile/FileDown.do?atch_file_id=B_202602071228075140#page=1</x:v>
      </x:c>
      <x:c r="L105" s="72" t="str">
        <x:v>https://www.historyexam.go.kr/atchFile/FileDown.do?atch_file_id=B_202602071050519721</x:v>
      </x:c>
      <x:c r="M105" s="13" t="str">
        <x:v>—</x:v>
      </x:c>
      <x:c r="N105" s="28" t="n">
        <x:v>0</x:v>
      </x:c>
      <x:c r="O105" s="13" t="str">
        <x:v>사용자 문제지 PDF</x:v>
      </x:c>
      <x:c r="P105" s="13" t="str">
        <x:v>77회 한국사_문제지(심화).pdf</x:v>
      </x:c>
      <x:c r="Q105" s="28" t="n">
        <x:v>1</x:v>
      </x:c>
    </x:row>
    <x:row r="106" ht="67.5" customHeight="1">
      <x:c r="A106" s="16" t="str">
        <x:v>official-77-advanced-05</x:v>
      </x:c>
      <x:c r="B106" s="27" t="n">
        <x:v>77</x:v>
      </x:c>
      <x:c r="C106" s="60" t="str">
        <x:v>심화</x:v>
      </x:c>
      <x:c r="D106" s="27" t="n">
        <x:v>5</x:v>
      </x:c>
      <x:c r="E106" s="27" t="n">
        <x:v>3</x:v>
      </x:c>
      <x:c r="F106" s="49" t="str">
        <x:v>선정</x:v>
      </x:c>
      <x:c r="G106" s="16" t="str">
        <x:v>백가의 난 진압·양과의 외교·왕릉 발굴을 단서로 무령왕의 22담로를 선택</x:v>
      </x:c>
      <x:c r="H106" s="16" t="str">
        <x:v>일반</x:v>
      </x:c>
      <x:c r="I106" s="16" t="str">
        <x:v>백가의 난을 평정 · 양에 고구려를 격파하고 다시 강국이 되었다는 국서를 보냄 · 1971년 왕릉 발굴과 왕·왕비 지석, 석수 출토</x:v>
      </x:c>
      <x:c r="J106" s="16" t="str">
        <x:v>왕릉 지석과 양에 보낸 국서 등의 단서는 무령왕을 가리킨다. 무령왕은 22담로에 왕족을 파견하여 지방 통제를 강화했으므로 ③이 맞다. 다른 선지도 백제 왕의 활동이므로 왕별 업적을 구별하는 문항이다.</x:v>
      </x:c>
      <x:c r="K106" s="71" t="str">
        <x:v>https://www.historyexam.go.kr/atchFile/FileDown.do?atch_file_id=B_202602071228075140#page=2</x:v>
      </x:c>
      <x:c r="L106" s="71" t="str">
        <x:v>https://www.historyexam.go.kr/atchFile/FileDown.do?atch_file_id=B_202602071050519721</x:v>
      </x:c>
      <x:c r="M106" s="16" t="str">
        <x:v>C08-S03</x:v>
      </x:c>
      <x:c r="N106" s="27" t="n">
        <x:v>6</x:v>
      </x:c>
      <x:c r="O106" s="16" t="str">
        <x:v>사용자 문제지 PDF</x:v>
      </x:c>
      <x:c r="P106" s="16" t="str">
        <x:v>77회 한국사_문제지(심화).pdf</x:v>
      </x:c>
      <x:c r="Q106" s="27" t="n">
        <x:v>2</x:v>
      </x:c>
    </x:row>
    <x:row r="107" ht="53.25" customHeight="1">
      <x:c r="A107" s="13" t="str">
        <x:v>official-77-advanced-06</x:v>
      </x:c>
      <x:c r="B107" s="28" t="n">
        <x:v>77</x:v>
      </x:c>
      <x:c r="C107" s="61" t="str">
        <x:v>심화</x:v>
      </x:c>
      <x:c r="D107" s="28" t="n">
        <x:v>6</x:v>
      </x:c>
      <x:c r="E107" s="28" t="n">
        <x:v>2</x:v>
      </x:c>
      <x:c r="F107" s="49" t="str">
        <x:v>선정</x:v>
      </x:c>
      <x:c r="G107" s="13" t="str">
        <x:v>660년 나당 연합군의 백제 공격 준비와 676년 기벌포 전투 사이에서 백제 부흥 운동을 선택</x:v>
      </x:c>
      <x:c r="H107" s="13" t="str">
        <x:v>일반</x:v>
      </x:c>
      <x:c r="I107" s="13" t="str">
        <x:v>(가) 김법민이 덕물도에서 소정방을 맞이하고 의자왕의 도성 공격 일정을 조율 · (나) 시득이 기벌포에서 설인귀의 수군과 싸움</x:v>
      </x:c>
      <x:c r="J107" s="13" t="str">
        <x:v>덕물도 회동은 백제 멸망 직전인 660년, 기벌포 전투는 676년이다. 그 사이 백제 부흥 세력이 부여풍을 왕으로 추대했다. 나당 동맹 체결이나 대야성 함락은 첫 자료보다 앞선다.</x:v>
      </x:c>
      <x:c r="K107" s="72" t="str">
        <x:v>https://www.historyexam.go.kr/atchFile/FileDown.do?atch_file_id=B_202602071228075140#page=2</x:v>
      </x:c>
      <x:c r="L107" s="72" t="str">
        <x:v>https://www.historyexam.go.kr/atchFile/FileDown.do?atch_file_id=B_202602071050519721</x:v>
      </x:c>
      <x:c r="M107" s="13" t="str">
        <x:v>C13-S12</x:v>
      </x:c>
      <x:c r="N107" s="28" t="n">
        <x:v>4</x:v>
      </x:c>
      <x:c r="O107" s="13" t="str">
        <x:v>사용자 문제지 PDF</x:v>
      </x:c>
      <x:c r="P107" s="13" t="str">
        <x:v>77회 한국사_문제지(심화).pdf</x:v>
      </x:c>
      <x:c r="Q107" s="28" t="n">
        <x:v>2</x:v>
      </x:c>
    </x:row>
    <x:row r="108" ht="42" customHeight="1">
      <x:c r="A108" s="16" t="str">
        <x:v>official-77-advanced-07</x:v>
      </x:c>
      <x:c r="B108" s="27" t="n">
        <x:v>77</x:v>
      </x:c>
      <x:c r="C108" s="60" t="str">
        <x:v>심화</x:v>
      </x:c>
      <x:c r="D108" s="27" t="n">
        <x:v>7</x:v>
      </x:c>
      <x:c r="E108" s="27" t="n">
        <x:v>2</x:v>
      </x:c>
      <x:c r="F108" s="49" t="str">
        <x:v>선정</x:v>
      </x:c>
      <x:c r="G108" s="16" t="str">
        <x:v>5경·15부와 여러 나라의 교류를 단서로 발해의 주자감을 선택</x:v>
      </x:c>
      <x:c r="H108" s="16" t="str">
        <x:v>일반</x:v>
      </x:c>
      <x:c r="I108" s="16" t="str">
        <x:v>영역 사방 5천 리, 5경과 15부 · 중국·신라·거란·일본과의 관계 · 해동역사에 인용된 동북 지역 국가 설명</x:v>
      </x:c>
      <x:c r="J108" s="16" t="str">
        <x:v>5경·15부의 지방 제도와 주변국 관계는 발해의 단서다. 발해의 교육 기관인 주자감을 고르는 문항이다.</x:v>
      </x:c>
      <x:c r="K108" s="71" t="str">
        <x:v>https://www.historyexam.go.kr/atchFile/FileDown.do?atch_file_id=B_202602071228075140#page=2</x:v>
      </x:c>
      <x:c r="L108" s="71" t="str">
        <x:v>https://www.historyexam.go.kr/atchFile/FileDown.do?atch_file_id=B_202602071050519721</x:v>
      </x:c>
      <x:c r="M108" s="16" t="str">
        <x:v>C21-S07</x:v>
      </x:c>
      <x:c r="N108" s="27" t="n">
        <x:v>2</x:v>
      </x:c>
      <x:c r="O108" s="16" t="str">
        <x:v>사용자 문제지 PDF</x:v>
      </x:c>
      <x:c r="P108" s="16" t="str">
        <x:v>77회 한국사_문제지(심화).pdf</x:v>
      </x:c>
      <x:c r="Q108" s="27" t="n">
        <x:v>2</x:v>
      </x:c>
    </x:row>
    <x:row r="109" ht="53.25" customHeight="1">
      <x:c r="A109" s="13" t="str">
        <x:v>official-77-advanced-08</x:v>
      </x:c>
      <x:c r="B109" s="28" t="n">
        <x:v>77</x:v>
      </x:c>
      <x:c r="C109" s="61" t="str">
        <x:v>심화</x:v>
      </x:c>
      <x:c r="D109" s="28" t="n">
        <x:v>8</x:v>
      </x:c>
      <x:c r="E109" s="28" t="n">
        <x:v>3</x:v>
      </x:c>
      <x:c r="F109" s="49" t="str">
        <x:v>선정</x:v>
      </x:c>
      <x:c r="G109" s="13" t="str">
        <x:v>국내성·계단식 돌무지무덤·영락 명문을 단서로 고구려 부경을 선택</x:v>
      </x:c>
      <x:c r="H109" s="13" t="str">
        <x:v>일반</x:v>
      </x:c>
      <x:c r="I109" s="13" t="str">
        <x:v>천추총이 국내성 지역의 대형 계단식 돌무지무덤이라는 설명 · 주변에서 영락으로 판독되는 명문 기와 조각이 발견되었다는 자료</x:v>
      </x:c>
      <x:c r="J109" s="13" t="str">
        <x:v>국내성·영락의 단서가 가리키는 국가는 고구려다. 고구려 각 집의 창고를 부경이라 하였으므로 ③을 고른다. 천추총의 특정 피장자를 확정해야 풀리는 문제는 아니다.</x:v>
      </x:c>
      <x:c r="K109" s="72" t="str">
        <x:v>https://www.historyexam.go.kr/atchFile/FileDown.do?atch_file_id=B_202602071228075140#page=2</x:v>
      </x:c>
      <x:c r="L109" s="72" t="str">
        <x:v>https://www.historyexam.go.kr/atchFile/FileDown.do?atch_file_id=B_202602071050519721</x:v>
      </x:c>
      <x:c r="M109" s="13" t="str">
        <x:v>C03-S10</x:v>
      </x:c>
      <x:c r="N109" s="28" t="n">
        <x:v>1</x:v>
      </x:c>
      <x:c r="O109" s="13" t="str">
        <x:v>사용자 문제지 PDF</x:v>
      </x:c>
      <x:c r="P109" s="13" t="str">
        <x:v>77회 한국사_문제지(심화).pdf</x:v>
      </x:c>
      <x:c r="Q109" s="28" t="n">
        <x:v>2</x:v>
      </x:c>
    </x:row>
    <x:row r="110" ht="53.25" customHeight="1">
      <x:c r="A110" s="16" t="str">
        <x:v>official-77-advanced-09</x:v>
      </x:c>
      <x:c r="B110" s="27" t="n">
        <x:v>77</x:v>
      </x:c>
      <x:c r="C110" s="60" t="str">
        <x:v>심화</x:v>
      </x:c>
      <x:c r="D110" s="27" t="n">
        <x:v>9</x:v>
      </x:c>
      <x:c r="E110" s="27" t="n">
        <x:v>2</x:v>
      </x:c>
      <x:c r="F110" s="49" t="str">
        <x:v>선정</x:v>
      </x:c>
      <x:c r="G110" s="16" t="str">
        <x:v>왕건에게 나주 방어를 맡기고 송악에서 철원으로 옮긴 궁예의 광평성을 확인</x:v>
      </x:c>
      <x:c r="H110" s="16" t="str">
        <x:v>일반</x:v>
      </x:c>
      <x:c r="I110" s="16" t="str">
        <x:v>왕건을 한찬·해군 대장군으로 삼아 나주를 지키게 함 · 참위설을 믿고 송악을 버려 부양(철원 북부)에 궁궐을 세움</x:v>
      </x:c>
      <x:c r="J110" s="16" t="str">
        <x:v>왕건이 궁예의 부하로 활동한 상황과 송악에서 철원으로 옮긴 일을 결합하면 인물은 궁예다. 궁예가 마련한 광평성이 ②에 제시되어 있다.</x:v>
      </x:c>
      <x:c r="K110" s="71" t="str">
        <x:v>https://www.historyexam.go.kr/atchFile/FileDown.do?atch_file_id=B_202602071228075140#page=2</x:v>
      </x:c>
      <x:c r="L110" s="71" t="str">
        <x:v>https://www.historyexam.go.kr/atchFile/FileDown.do?atch_file_id=B_202602071050519721</x:v>
      </x:c>
      <x:c r="M110" s="16" t="str">
        <x:v>C23-S05</x:v>
      </x:c>
      <x:c r="N110" s="27" t="n">
        <x:v>3</x:v>
      </x:c>
      <x:c r="O110" s="16" t="str">
        <x:v>사용자 문제지 PDF</x:v>
      </x:c>
      <x:c r="P110" s="16" t="str">
        <x:v>77회 한국사_문제지(심화).pdf</x:v>
      </x:c>
      <x:c r="Q110" s="27" t="n">
        <x:v>2</x:v>
      </x:c>
    </x:row>
    <x:row r="111" ht="67.5" customHeight="1">
      <x:c r="A111" s="13" t="str">
        <x:v>official-77-advanced-10</x:v>
      </x:c>
      <x:c r="B111" s="28" t="n">
        <x:v>77</x:v>
      </x:c>
      <x:c r="C111" s="61" t="str">
        <x:v>심화</x:v>
      </x:c>
      <x:c r="D111" s="28" t="n">
        <x:v>10</x:v>
      </x:c>
      <x:c r="E111" s="28" t="n">
        <x:v>4</x:v>
      </x:c>
      <x:c r="F111" s="49" t="str">
        <x:v>선정</x:v>
      </x:c>
      <x:c r="G111" s="13" t="str">
        <x:v>청해진 폐지와 벽골군 이주가 일어난 신라 하대에 선종 승려의 활동을 연결</x:v>
      </x:c>
      <x:c r="H111" s="13" t="str">
        <x:v>일반</x:v>
      </x:c>
      <x:c r="I111" s="13" t="str">
        <x:v>청해진 폐지 · 주민의 벽골군 이주 · 장보고의 건의로 설치된 지 20여 년이라는 뉴스</x:v>
      </x:c>
      <x:c r="J111" s="13" t="str">
        <x:v>뉴스는 851년 청해진 폐지와 주민 이주를 가리킨다. 신라 하대에는 선종이 확산되었으므로 진전사에서 참선하는 승려를 볼 수 있다. 이 문항은 장보고 사망과 청해진 폐지를 한 날짜로 합치지 않도록 주의한다.</x:v>
      </x:c>
      <x:c r="K111" s="72" t="str">
        <x:v>https://www.historyexam.go.kr/atchFile/FileDown.do?atch_file_id=B_202602071228075140#page=3</x:v>
      </x:c>
      <x:c r="L111" s="72" t="str">
        <x:v>https://www.historyexam.go.kr/atchFile/FileDown.do?atch_file_id=B_202602071050519721</x:v>
      </x:c>
      <x:c r="M111" s="13" t="str">
        <x:v>C19-S04</x:v>
      </x:c>
      <x:c r="N111" s="28" t="n">
        <x:v>2</x:v>
      </x:c>
      <x:c r="O111" s="13" t="str">
        <x:v>사용자 문제지 PDF</x:v>
      </x:c>
      <x:c r="P111" s="13" t="str">
        <x:v>77회 한국사_문제지(심화).pdf</x:v>
      </x:c>
      <x:c r="Q111" s="28" t="n">
        <x:v>3</x:v>
      </x:c>
    </x:row>
    <x:row r="112" ht="67.5" customHeight="1">
      <x:c r="A112" s="16" t="str">
        <x:v>official-77-advanced-13</x:v>
      </x:c>
      <x:c r="B112" s="27" t="n">
        <x:v>77</x:v>
      </x:c>
      <x:c r="C112" s="60" t="str">
        <x:v>심화</x:v>
      </x:c>
      <x:c r="D112" s="27" t="n">
        <x:v>13</x:v>
      </x:c>
      <x:c r="E112" s="27" t="n">
        <x:v>4</x:v>
      </x:c>
      <x:c r="F112" s="49" t="str">
        <x:v>선정</x:v>
      </x:c>
      <x:c r="G112" s="16" t="str">
        <x:v>고려 문화유산을 고르는 부정형 문항에서 삼국 시대 호우명 그릇을 판별</x:v>
      </x:c>
      <x:c r="H112" s="65" t="str">
        <x:v>부정형</x:v>
      </x:c>
      <x:c r="I112" s="16" t="str">
        <x:v>자료는 단산오옥명 먹·묵소·서긍을 통해 고려를 가리킴 · 정답 사진의 그릇 바닥에 광개토대왕을 가리키는 명문이 보임</x:v>
      </x:c>
      <x:c r="J112" s="16" t="str">
        <x:v>자료의 국가는 고려지만, ④는 경주 호우총에서 출토된 광개토대왕명 청동그릇이다. 이 삼국 시대 유물을 알아보면 고려 유물이 아닌 선지를 판별할 수 있다. 출토지가 신라라는 사실과 고구려 관련 제작·명문 정보를 구별해야 한다.</x:v>
      </x:c>
      <x:c r="K112" s="71" t="str">
        <x:v>https://www.historyexam.go.kr/atchFile/FileDown.do?atch_file_id=B_202602071228075140#page=3</x:v>
      </x:c>
      <x:c r="L112" s="71" t="str">
        <x:v>https://www.historyexam.go.kr/atchFile/FileDown.do?atch_file_id=B_202602071050519721</x:v>
      </x:c>
      <x:c r="M112" s="16" t="str">
        <x:v>C03-S09</x:v>
      </x:c>
      <x:c r="N112" s="27" t="n">
        <x:v>1</x:v>
      </x:c>
      <x:c r="O112" s="16" t="str">
        <x:v>사용자 문제지 PDF</x:v>
      </x:c>
      <x:c r="P112" s="16" t="str">
        <x:v>77회 한국사_문제지(심화).pdf</x:v>
      </x:c>
      <x:c r="Q112" s="27" t="n">
        <x:v>3</x:v>
      </x:c>
    </x:row>
    <x:row r="113" ht="67.5" customHeight="1">
      <x:c r="A113" s="13" t="str">
        <x:v>official-77-advanced-50</x:v>
      </x:c>
      <x:c r="B113" s="28" t="n">
        <x:v>77</x:v>
      </x:c>
      <x:c r="C113" s="61" t="str">
        <x:v>심화</x:v>
      </x:c>
      <x:c r="D113" s="28" t="n">
        <x:v>50</x:v>
      </x:c>
      <x:c r="E113" s="28" t="n">
        <x:v>3</x:v>
      </x:c>
      <x:c r="F113" s="49" t="str">
        <x:v>선정</x:v>
      </x:c>
      <x:c r="G113" s="13" t="str">
        <x:v>427·475·538년의 천도 왕을 구별하고 사비 천도한 성왕의 국호 남부여를 선택</x:v>
      </x:c>
      <x:c r="H113" s="13" t="str">
        <x:v>일반</x:v>
      </x:c>
      <x:c r="I113" s="13" t="str">
        <x:v>(가) 고구려 427년 평양 천도 · (나) 백제 475년 웅진 천도 · (다) 백제 538년 사비 천도 · 후반 자료에는 고려 강화 천도와 조선 한양 천도도 함께 제시됨</x:v>
      </x:c>
      <x:c r="J113" s="13" t="str">
        <x:v>538년 사비로 천도한 (다)는 성왕이며 국호를 남부여로 바꿨다. 고구려 장수왕·백제 문주왕·성왕을 구별하여 ③을 직접 확정할 수 있다. 전체 발문에는 고려·조선 왕도 있으므로 시대가 섞인 문항이라는 사실을 표시한다.</x:v>
      </x:c>
      <x:c r="K113" s="72" t="str">
        <x:v>https://www.historyexam.go.kr/atchFile/FileDown.do?atch_file_id=B_202602071228075140#page=12</x:v>
      </x:c>
      <x:c r="L113" s="72" t="str">
        <x:v>https://www.historyexam.go.kr/atchFile/FileDown.do?atch_file_id=B_202602071050519721</x:v>
      </x:c>
      <x:c r="M113" s="13" t="str">
        <x:v>C08-S05</x:v>
      </x:c>
      <x:c r="N113" s="28" t="n">
        <x:v>2</x:v>
      </x:c>
      <x:c r="O113" s="13" t="str">
        <x:v>사용자 문제지 PDF</x:v>
      </x:c>
      <x:c r="P113" s="13" t="str">
        <x:v>77회 한국사_문제지(심화).pdf</x:v>
      </x:c>
      <x:c r="Q113" s="28" t="n">
        <x:v>12</x:v>
      </x:c>
    </x:row>
    <x:row r="114" ht="67.5" customHeight="1">
      <x:c r="A114" s="16" t="str">
        <x:v>official-78-advanced-04</x:v>
      </x:c>
      <x:c r="B114" s="27" t="n">
        <x:v>78</x:v>
      </x:c>
      <x:c r="C114" s="60" t="str">
        <x:v>심화</x:v>
      </x:c>
      <x:c r="D114" s="27" t="n">
        <x:v>4</x:v>
      </x:c>
      <x:c r="E114" s="27" t="n">
        <x:v>5</x:v>
      </x:c>
      <x:c r="F114" s="39" t="str">
        <x:v>검토만</x:v>
      </x:c>
      <x:c r="G114" s="16" t="str">
        <x:v>관산성에서 전사한 백제 성왕을 식별하고 도살성 공격을 선택</x:v>
      </x:c>
      <x:c r="H114" s="16" t="str">
        <x:v>일반</x:v>
      </x:c>
      <x:c r="I114" s="16" t="str">
        <x:v>백제군이 관산성을 공격하여 김무력의 신라군과 싸움 · 왕이 구천에 이르렀다가 신라군의 기습으로 전사</x:v>
      </x:c>
      <x:c r="J114" s="16" t="str">
        <x:v>관산성 전투에서 전사한 백제 왕은 성왕이다. ⑤의 장군 달기를 통한 도살성 점령이 성왕의 활동에 해당한다. 나머지는 문주왕·무령왕·무왕·근초고왕의 업적이므로 백제 왕별로 구별한다.</x:v>
      </x:c>
      <x:c r="K114" s="71" t="str">
        <x:v>https://www.historyexam.go.kr/atchFile/FileDown.do?atch_file_id=B_202605230140467170#page=1</x:v>
      </x:c>
      <x:c r="L114" s="71" t="str">
        <x:v>https://www.historyexam.go.kr/atchFile/FileDown.do?atch_file_id=B_202605230140467941</x:v>
      </x:c>
      <x:c r="M114" s="16" t="str">
        <x:v>—</x:v>
      </x:c>
      <x:c r="N114" s="27" t="n">
        <x:v>0</x:v>
      </x:c>
      <x:c r="O114" s="16" t="str">
        <x:v>사용자 문제지 PDF</x:v>
      </x:c>
      <x:c r="P114" s="16" t="str">
        <x:v>78회 한국사_문제지(심화).pdf</x:v>
      </x:c>
      <x:c r="Q114" s="27" t="n">
        <x:v>1</x:v>
      </x:c>
    </x:row>
    <x:row r="115" ht="53.25" customHeight="1">
      <x:c r="A115" s="13" t="str">
        <x:v>official-78-advanced-05</x:v>
      </x:c>
      <x:c r="B115" s="28" t="n">
        <x:v>78</x:v>
      </x:c>
      <x:c r="C115" s="61" t="str">
        <x:v>심화</x:v>
      </x:c>
      <x:c r="D115" s="28" t="n">
        <x:v>5</x:v>
      </x:c>
      <x:c r="E115" s="28" t="n">
        <x:v>2</x:v>
      </x:c>
      <x:c r="F115" s="39" t="str">
        <x:v>검토만</x:v>
      </x:c>
      <x:c r="G115" s="13" t="str">
        <x:v>쌍영총 벽화와 순도의 불교 전래를 단서로 고구려 교육 기관을 선택</x:v>
      </x:c>
      <x:c r="H115" s="13" t="str">
        <x:v>일반</x:v>
      </x:c>
      <x:c r="I115" s="13" t="str">
        <x:v>쌍영총 벽화의 공양 행렬 · 전진의 승려 순도를 통한 불교 수용 · 귀족 사회에 불교가 확산되었다는 설명</x:v>
      </x:c>
      <x:c r="J115" s="13" t="str">
        <x:v>쌍영총과 순도의 전래는 고구려의 단서다. 고구려의 교육 기관인 태학과 경당을 함께 제시한 ②가 맞다. 불교 수용과 교육 기관을 같은 나라의 특징으로 연결하는 문항이다.</x:v>
      </x:c>
      <x:c r="K115" s="72" t="str">
        <x:v>https://www.historyexam.go.kr/atchFile/FileDown.do?atch_file_id=B_202605230140467170#page=2</x:v>
      </x:c>
      <x:c r="L115" s="72" t="str">
        <x:v>https://www.historyexam.go.kr/atchFile/FileDown.do?atch_file_id=B_202605230140467941</x:v>
      </x:c>
      <x:c r="M115" s="13" t="str">
        <x:v>—</x:v>
      </x:c>
      <x:c r="N115" s="28" t="n">
        <x:v>0</x:v>
      </x:c>
      <x:c r="O115" s="13" t="str">
        <x:v>사용자 문제지 PDF</x:v>
      </x:c>
      <x:c r="P115" s="13" t="str">
        <x:v>78회 한국사_문제지(심화).pdf</x:v>
      </x:c>
      <x:c r="Q115" s="28" t="n">
        <x:v>2</x:v>
      </x:c>
    </x:row>
    <x:row r="116" ht="67.5" customHeight="1">
      <x:c r="A116" s="16" t="str">
        <x:v>official-78-advanced-06</x:v>
      </x:c>
      <x:c r="B116" s="27" t="n">
        <x:v>78</x:v>
      </x:c>
      <x:c r="C116" s="60" t="str">
        <x:v>심화</x:v>
      </x:c>
      <x:c r="D116" s="27" t="n">
        <x:v>6</x:v>
      </x:c>
      <x:c r="E116" s="27" t="n">
        <x:v>4</x:v>
      </x:c>
      <x:c r="F116" s="49" t="str">
        <x:v>선정</x:v>
      </x:c>
      <x:c r="G116" s="16" t="str">
        <x:v>부여 쌍북리의 곡식 대여 목간을 단서로 백제 6좌평·달솔 체계를 선택</x:v>
      </x:c>
      <x:c r="H116" s="16" t="str">
        <x:v>일반</x:v>
      </x:c>
      <x:c r="I116" s="16" t="str">
        <x:v>마지막 수도가 부여였던 국가 · 쌍북리 유적에서 출토된 좌관대식기 · 관청에서 곡식을 빌리고 갚은 이름과 곡식 양이 기록된 목간</x:v>
      </x:c>
      <x:c r="J116" s="16" t="str">
        <x:v>부여를 마지막 수도로 삼고 쌍북리 목간을 남긴 국가는 백제다. 백제의 관등 체계인 6좌평과 달솔을 제시한 ④가 정답이다. 곡식 대여 기록이라는 소재만 보고 고구려 진대법을 정답으로 바꾸면 안 된다.</x:v>
      </x:c>
      <x:c r="K116" s="71" t="str">
        <x:v>https://www.historyexam.go.kr/atchFile/FileDown.do?atch_file_id=B_202605230140467170#page=2</x:v>
      </x:c>
      <x:c r="L116" s="71" t="str">
        <x:v>https://www.historyexam.go.kr/atchFile/FileDown.do?atch_file_id=B_202605230140467941</x:v>
      </x:c>
      <x:c r="M116" s="16" t="str">
        <x:v>C09-S03</x:v>
      </x:c>
      <x:c r="N116" s="27" t="n">
        <x:v>4</x:v>
      </x:c>
      <x:c r="O116" s="16" t="str">
        <x:v>사용자 문제지 PDF</x:v>
      </x:c>
      <x:c r="P116" s="16" t="str">
        <x:v>78회 한국사_문제지(심화).pdf</x:v>
      </x:c>
      <x:c r="Q116" s="27" t="n">
        <x:v>2</x:v>
      </x:c>
    </x:row>
    <x:row r="117" ht="67.5" customHeight="1">
      <x:c r="A117" s="13" t="str">
        <x:v>official-78-advanced-07</x:v>
      </x:c>
      <x:c r="B117" s="28" t="n">
        <x:v>78</x:v>
      </x:c>
      <x:c r="C117" s="61" t="str">
        <x:v>심화</x:v>
      </x:c>
      <x:c r="D117" s="28" t="n">
        <x:v>7</x:v>
      </x:c>
      <x:c r="E117" s="28" t="n">
        <x:v>4</x:v>
      </x:c>
      <x:c r="F117" s="49" t="str">
        <x:v>선정</x:v>
      </x:c>
      <x:c r="G117" s="13" t="str">
        <x:v>대야성 함락 뒤 김춘추의 고구려 구원 요청 이후 황산벌 전투가 일어났음을 판별</x:v>
      </x:c>
      <x:c r="H117" s="13" t="str">
        <x:v>일반</x:v>
      </x:c>
      <x:c r="I117" s="13" t="str">
        <x:v>백제의 대야성 공격으로 도독 품석의 아내인 김춘추의 딸이 사망 · 김춘추가 고구려에 가서 군사를 요청하겠다고 함</x:v>
      </x:c>
      <x:c r="J117" s="13" t="str">
        <x:v>자료는 642년 대야성 함락 뒤 김춘추가 고구려에 구원을 청하러 가는 상황이다. 이후의 사건은 660년 황산벌 전투이며, 다른 선지의 대가야 병합·우산국 복속·살수 대첩·광개토대왕의 신라 구원은 더 이르다.</x:v>
      </x:c>
      <x:c r="K117" s="72" t="str">
        <x:v>https://www.historyexam.go.kr/atchFile/FileDown.do?atch_file_id=B_202605230140467170#page=2</x:v>
      </x:c>
      <x:c r="L117" s="72" t="str">
        <x:v>https://www.historyexam.go.kr/atchFile/FileDown.do?atch_file_id=B_202605230140467941</x:v>
      </x:c>
      <x:c r="M117" s="13" t="str">
        <x:v>C09-S07</x:v>
      </x:c>
      <x:c r="N117" s="28" t="n">
        <x:v>3</x:v>
      </x:c>
      <x:c r="O117" s="13" t="str">
        <x:v>사용자 문제지 PDF</x:v>
      </x:c>
      <x:c r="P117" s="13" t="str">
        <x:v>78회 한국사_문제지(심화).pdf</x:v>
      </x:c>
      <x:c r="Q117" s="28" t="n">
        <x:v>2</x:v>
      </x:c>
    </x:row>
    <x:row r="118" ht="67.5" customHeight="1">
      <x:c r="A118" s="16" t="str">
        <x:v>official-78-advanced-08</x:v>
      </x:c>
      <x:c r="B118" s="27" t="n">
        <x:v>78</x:v>
      </x:c>
      <x:c r="C118" s="60" t="str">
        <x:v>심화</x:v>
      </x:c>
      <x:c r="D118" s="27" t="n">
        <x:v>8</x:v>
      </x:c>
      <x:c r="E118" s="27" t="n">
        <x:v>3</x:v>
      </x:c>
      <x:c r="F118" s="49" t="str">
        <x:v>선정</x:v>
      </x:c>
      <x:c r="G118" s="16" t="str">
        <x:v>혜공왕 피살 이후 신라 하대의 왕위 다툼과 김헌창의 난을 연결</x:v>
      </x:c>
      <x:c r="H118" s="16" t="str">
        <x:v>일반</x:v>
      </x:c>
      <x:c r="I118" s="16" t="str">
        <x:v>경주 흥덕왕릉 소개 · 밑줄은 혜공왕 피살 이후 왕위 쟁탈전이 거듭되던 시기 · 흥덕왕 사후에도 진골 귀족의 왕위 다툼이 반복되었다는 설명</x:v>
      </x:c>
      <x:c r="J118" s="16" t="str">
        <x:v>묻는 시기는 흥덕왕 한 사람의 재위 기간만이 아니라 혜공왕 피살 이후의 신라 하대다. 이 시기에 일어난 김헌창의 난이 ③이다. 김헌창의 난을 흥덕왕 때의 사건이라고 바꾸어 설명하면 오류가 된다.</x:v>
      </x:c>
      <x:c r="K118" s="71" t="str">
        <x:v>https://www.historyexam.go.kr/atchFile/FileDown.do?atch_file_id=B_202605230140467170#page=2</x:v>
      </x:c>
      <x:c r="L118" s="71" t="str">
        <x:v>https://www.historyexam.go.kr/atchFile/FileDown.do?atch_file_id=B_202605230140467941</x:v>
      </x:c>
      <x:c r="M118" s="16" t="str">
        <x:v>C19-S01</x:v>
      </x:c>
      <x:c r="N118" s="27" t="n">
        <x:v>3</x:v>
      </x:c>
      <x:c r="O118" s="16" t="str">
        <x:v>사용자 문제지 PDF</x:v>
      </x:c>
      <x:c r="P118" s="16" t="str">
        <x:v>78회 한국사_문제지(심화).pdf</x:v>
      </x:c>
      <x:c r="Q118" s="27" t="n">
        <x:v>2</x:v>
      </x:c>
    </x:row>
    <x:row r="119" ht="53.25" customHeight="1">
      <x:c r="A119" s="13" t="str">
        <x:v>official-78-advanced-09</x:v>
      </x:c>
      <x:c r="B119" s="28" t="n">
        <x:v>78</x:v>
      </x:c>
      <x:c r="C119" s="61" t="str">
        <x:v>심화</x:v>
      </x:c>
      <x:c r="D119" s="28" t="n">
        <x:v>9</x:v>
      </x:c>
      <x:c r="E119" s="28" t="n">
        <x:v>3</x:v>
      </x:c>
      <x:c r="F119" s="49" t="str">
        <x:v>선정</x:v>
      </x:c>
      <x:c r="G119" s="13" t="str">
        <x:v>효의황후·순목황후 묘지의 연호를 단서로 발해 이불병좌상 사진을 선택</x:v>
      </x:c>
      <x:c r="H119" s="13" t="str">
        <x:v>일반</x:v>
      </x:c>
      <x:c r="I119" s="13" t="str">
        <x:v>중국 지린성 룽터우산 고분군 출토 효의황후·순목황후 묘지 · 문왕 대 보력과 선왕 대 건흥 연호 · 황후 칭호로 황제국 제도를 설명하는 자료</x:v>
      </x:c>
      <x:c r="J119" s="13" t="str">
        <x:v>보력·건흥과 황후 칭호의 주체는 발해다. 정답 ③은 두 부처가 나란히 앉아 있는 이불병좌상 사진이다. 황후 묘지의 국가를 식별한 뒤 발해 불교 조각을 선택한다.</x:v>
      </x:c>
      <x:c r="K119" s="72" t="str">
        <x:v>https://www.historyexam.go.kr/atchFile/FileDown.do?atch_file_id=B_202605230140467170#page=3</x:v>
      </x:c>
      <x:c r="L119" s="72" t="str">
        <x:v>https://www.historyexam.go.kr/atchFile/FileDown.do?atch_file_id=B_202605230140467941</x:v>
      </x:c>
      <x:c r="M119" s="13" t="str">
        <x:v>추가 후보만</x:v>
      </x:c>
      <x:c r="N119" s="28" t="n">
        <x:v>2</x:v>
      </x:c>
      <x:c r="O119" s="13" t="str">
        <x:v>사용자 문제지 PDF</x:v>
      </x:c>
      <x:c r="P119" s="13" t="str">
        <x:v>78회 한국사_문제지(심화).pdf</x:v>
      </x:c>
      <x:c r="Q119" s="28" t="n">
        <x:v>3</x:v>
      </x:c>
    </x:row>
    <x:row r="120" ht="67.5" customHeight="1">
      <x:c r="A120" s="16" t="str">
        <x:v>official-78-advanced-10</x:v>
      </x:c>
      <x:c r="B120" s="27" t="n">
        <x:v>78</x:v>
      </x:c>
      <x:c r="C120" s="60" t="str">
        <x:v>심화</x:v>
      </x:c>
      <x:c r="D120" s="27" t="n">
        <x:v>10</x:v>
      </x:c>
      <x:c r="E120" s="27" t="n">
        <x:v>4</x:v>
      </x:c>
      <x:c r="F120" s="39" t="str">
        <x:v>검토만</x:v>
      </x:c>
      <x:c r="G120" s="16" t="str">
        <x:v>신숭겸이 전사한 공산 전투 이후 고창 전투의 전개를 확인</x:v>
      </x:c>
      <x:c r="H120" s="16" t="str">
        <x:v>일반</x:v>
      </x:c>
      <x:c r="I120" s="16" t="str">
        <x:v>동국신속삼강행실도의 그림 · 후삼국 통일 과정에서 위기에 빠진 왕건을 구하려다 전사한 장절공 신숭겸</x:v>
      </x:c>
      <x:c r="J120" s="16" t="str">
        <x:v>신숭겸이 왕건을 구하다 전사한 전투는 927년 공산 전투다. 그 뒤 930년 고창 전투에서 김선평·권행 등이 활약하였다. 대공의 난·안승 보덕왕 책봉·태봉 개칭·천문령 전투는 앞선 사건이다.</x:v>
      </x:c>
      <x:c r="K120" s="71" t="str">
        <x:v>https://www.historyexam.go.kr/atchFile/FileDown.do?atch_file_id=B_202605230140467170#page=3</x:v>
      </x:c>
      <x:c r="L120" s="71" t="str">
        <x:v>https://www.historyexam.go.kr/atchFile/FileDown.do?atch_file_id=B_202605230140467941</x:v>
      </x:c>
      <x:c r="M120" s="16" t="str">
        <x:v>—</x:v>
      </x:c>
      <x:c r="N120" s="27" t="n">
        <x:v>0</x:v>
      </x:c>
      <x:c r="O120" s="16" t="str">
        <x:v>사용자 문제지 PDF</x:v>
      </x:c>
      <x:c r="P120" s="16" t="str">
        <x:v>78회 한국사_문제지(심화).pdf</x:v>
      </x:c>
      <x:c r="Q120" s="27" t="n">
        <x:v>3</x:v>
      </x:c>
    </x:row>
    <x:row r="121" ht="67.5" customHeight="1">
      <x:c r="A121" s="13" t="str">
        <x:v>official-79-advanced-03</x:v>
      </x:c>
      <x:c r="B121" s="28" t="n">
        <x:v>79</x:v>
      </x:c>
      <x:c r="C121" s="61" t="str">
        <x:v>심화</x:v>
      </x:c>
      <x:c r="D121" s="28" t="n">
        <x:v>3</x:v>
      </x:c>
      <x:c r="E121" s="28" t="n">
        <x:v>2</x:v>
      </x:c>
      <x:c r="F121" s="49" t="str">
        <x:v>선정</x:v>
      </x:c>
      <x:c r="G121" s="13" t="str">
        <x:v>삼근왕 사후 백제의 역사 전개에서 무령왕의 22담로 파견을 선택</x:v>
      </x:c>
      <x:c r="H121" s="13" t="str">
        <x:v>일반</x:v>
      </x:c>
      <x:c r="I121" s="13" t="str">
        <x:v>공주 왕릉원 2호분 출토 어금니의 연령 분석 · 삼근왕의 무덤이라는 견해가 제기되었다고 명시 · 삼근왕은 개로왕의 손자로 13세에 즉위하여 2년 만에 사망 · 교사는 그 이후 백제의 상황을 질문</x:v>
      </x:c>
      <x:c r="J121" s="13" t="str">
        <x:v>삼근왕 사후에 해당하는 선지는 무령왕의 22담로 왕족 파견이다. 서기 편찬·고국원왕 전사·불교 수용·광개토대왕 침입은 그보다 앞선 백제 역사에 해당한다.</x:v>
      </x:c>
      <x:c r="K121" s="72" t="str">
        <x:v>https://www.historyexam.go.kr/atchFile/FileDown.do?atch_file_id=B_202608090227540820#page=1</x:v>
      </x:c>
      <x:c r="L121" s="72" t="str">
        <x:v>https://www.historyexam.go.kr/atchFile/FileDown.do?atch_file_id=B_202608090111475331</x:v>
      </x:c>
      <x:c r="M121" s="13" t="str">
        <x:v>C08-S01</x:v>
      </x:c>
      <x:c r="N121" s="28" t="n">
        <x:v>2</x:v>
      </x:c>
      <x:c r="O121" s="13" t="str">
        <x:v>사용자 문제지 PDF</x:v>
      </x:c>
      <x:c r="P121" s="13" t="str">
        <x:v>79회 한국사_문제지(심화).pdf</x:v>
      </x:c>
      <x:c r="Q121" s="28" t="n">
        <x:v>1</x:v>
      </x:c>
    </x:row>
    <x:row r="122" ht="53.25" customHeight="1">
      <x:c r="A122" s="16" t="str">
        <x:v>official-79-advanced-04</x:v>
      </x:c>
      <x:c r="B122" s="27" t="n">
        <x:v>79</x:v>
      </x:c>
      <x:c r="C122" s="60" t="str">
        <x:v>심화</x:v>
      </x:c>
      <x:c r="D122" s="27" t="n">
        <x:v>4</x:v>
      </x:c>
      <x:c r="E122" s="27" t="n">
        <x:v>1</x:v>
      </x:c>
      <x:c r="F122" s="49" t="str">
        <x:v>선정</x:v>
      </x:c>
      <x:c r="G122" s="16" t="str">
        <x:v>김해 대성동 고분군·김수로왕을 단서로 금관가야의 철 수출을 선택</x:v>
      </x:c>
      <x:c r="H122" s="16" t="str">
        <x:v>일반</x:v>
      </x:c>
      <x:c r="I122" s="16" t="str">
        <x:v>김해 대성동 고분군 29호분과 39호분 · 김수로왕이 건국하였다고 전해지는 국가 · 약 100년 차이의 두 고분으로 국가의 변화를 탐구</x:v>
      </x:c>
      <x:c r="J122" s="16" t="str">
        <x:v>김수로왕 전승과 김해 대성동 고분군은 금관가야의 단서다. 가야 지역은 풍부한 철을 생산하여 낙랑과 왜에 수출했으므로 ①이 맞다.</x:v>
      </x:c>
      <x:c r="K122" s="71" t="str">
        <x:v>https://www.historyexam.go.kr/atchFile/FileDown.do?atch_file_id=B_202608090227540820#page=1</x:v>
      </x:c>
      <x:c r="L122" s="71" t="str">
        <x:v>https://www.historyexam.go.kr/atchFile/FileDown.do?atch_file_id=B_202608090111475331</x:v>
      </x:c>
      <x:c r="M122" s="16" t="str">
        <x:v>C14-S06</x:v>
      </x:c>
      <x:c r="N122" s="27" t="n">
        <x:v>5</x:v>
      </x:c>
      <x:c r="O122" s="16" t="str">
        <x:v>사용자 문제지 PDF</x:v>
      </x:c>
      <x:c r="P122" s="16" t="str">
        <x:v>79회 한국사_문제지(심화).pdf</x:v>
      </x:c>
      <x:c r="Q122" s="27" t="n">
        <x:v>1</x:v>
      </x:c>
    </x:row>
    <x:row r="123" ht="67.5" customHeight="1">
      <x:c r="A123" s="13" t="str">
        <x:v>official-79-advanced-05</x:v>
      </x:c>
      <x:c r="B123" s="28" t="n">
        <x:v>79</x:v>
      </x:c>
      <x:c r="C123" s="61" t="str">
        <x:v>심화</x:v>
      </x:c>
      <x:c r="D123" s="28" t="n">
        <x:v>5</x:v>
      </x:c>
      <x:c r="E123" s="28" t="n">
        <x:v>2</x:v>
      </x:c>
      <x:c r="F123" s="39" t="str">
        <x:v>검토만</x:v>
      </x:c>
      <x:c r="G123" s="13" t="str">
        <x:v>중원경 출신 신라 문장가 강수와 청방인문표를 연결</x:v>
      </x:c>
      <x:c r="H123" s="13" t="str">
        <x:v>일반</x:v>
      </x:c>
      <x:c r="I123" s="13" t="str">
        <x:v>중원경 출신, 아버지는 나마 석체 · 유학을 공부한 문장가 · 태종 무열왕 때 당 국서의 난해한 내용을 풀고 이름을 하사받음</x:v>
      </x:c>
      <x:c r="J123" s="13" t="str">
        <x:v>국서를 능숙하게 해석하여 태종 무열왕에게 이름을 받은 문장가는 강수다. 강수는 청방인문표 등 외교 문서를 작성했으므로 ②가 정답이다. 화왕계·이두 정리는 설총의 활동이며 왕오천축국전은 혜초의 저술이다.</x:v>
      </x:c>
      <x:c r="K123" s="72" t="str">
        <x:v>https://www.historyexam.go.kr/atchFile/FileDown.do?atch_file_id=B_202608090227540820#page=2</x:v>
      </x:c>
      <x:c r="L123" s="72" t="str">
        <x:v>https://www.historyexam.go.kr/atchFile/FileDown.do?atch_file_id=B_202608090111475331</x:v>
      </x:c>
      <x:c r="M123" s="13" t="str">
        <x:v>—</x:v>
      </x:c>
      <x:c r="N123" s="28" t="n">
        <x:v>0</x:v>
      </x:c>
      <x:c r="O123" s="13" t="str">
        <x:v>사용자 문제지 PDF</x:v>
      </x:c>
      <x:c r="P123" s="13" t="str">
        <x:v>79회 한국사_문제지(심화).pdf</x:v>
      </x:c>
      <x:c r="Q123" s="28" t="n">
        <x:v>2</x:v>
      </x:c>
    </x:row>
    <x:row r="124" ht="67.5" customHeight="1">
      <x:c r="A124" s="16" t="str">
        <x:v>official-79-advanced-06</x:v>
      </x:c>
      <x:c r="B124" s="27" t="n">
        <x:v>79</x:v>
      </x:c>
      <x:c r="C124" s="60" t="str">
        <x:v>심화</x:v>
      </x:c>
      <x:c r="D124" s="27" t="n">
        <x:v>6</x:v>
      </x:c>
      <x:c r="E124" s="27" t="n">
        <x:v>1</x:v>
      </x:c>
      <x:c r="F124" s="49" t="str">
        <x:v>선정</x:v>
      </x:c>
      <x:c r="G124" s="16" t="str">
        <x:v>소정방의 백제 평정 비문이 새겨진 부여 정림사지 오층석탑을 사진으로 판별</x:v>
      </x:c>
      <x:c r="H124" s="16" t="str">
        <x:v>일반</x:v>
      </x:c>
      <x:c r="I124" s="16" t="str">
        <x:v>소정방이 1층 탑신에 백제 정벌을 기념하는 글귀를 새김 · 과거 평제탑으로 잘못 불림 · 절 이름이 찍힌 기와가 출토되어 현재 이름으로 불림 · 익산 미륵사지 석탑과 함께 백제를 대표한다고 설명</x:v>
      </x:c>
      <x:c r="J124" s="16" t="str">
        <x:v>설명에 해당하는 유산은 부여 정림사지 오층석탑이다. ①의 사진을 고른다. 탑에 새겨진 당의 정복 비문과 탑 자체가 백제 문화유산이라는 점을 구별한다.</x:v>
      </x:c>
      <x:c r="K124" s="71" t="str">
        <x:v>https://www.historyexam.go.kr/atchFile/FileDown.do?atch_file_id=B_202608090227540820#page=2</x:v>
      </x:c>
      <x:c r="L124" s="71" t="str">
        <x:v>https://www.historyexam.go.kr/atchFile/FileDown.do?atch_file_id=B_202608090111475331</x:v>
      </x:c>
      <x:c r="M124" s="16" t="str">
        <x:v>추가 후보만</x:v>
      </x:c>
      <x:c r="N124" s="27" t="n">
        <x:v>1</x:v>
      </x:c>
      <x:c r="O124" s="16" t="str">
        <x:v>사용자 문제지 PDF</x:v>
      </x:c>
      <x:c r="P124" s="16" t="str">
        <x:v>79회 한국사_문제지(심화).pdf</x:v>
      </x:c>
      <x:c r="Q124" s="27" t="n">
        <x:v>2</x:v>
      </x:c>
    </x:row>
    <x:row r="125" ht="53.25" customHeight="1">
      <x:c r="A125" s="13" t="str">
        <x:v>official-79-advanced-07</x:v>
      </x:c>
      <x:c r="B125" s="28" t="n">
        <x:v>79</x:v>
      </x:c>
      <x:c r="C125" s="61" t="str">
        <x:v>심화</x:v>
      </x:c>
      <x:c r="D125" s="28" t="n">
        <x:v>7</x:v>
      </x:c>
      <x:c r="E125" s="28" t="n">
        <x:v>3</x:v>
      </x:c>
      <x:c r="F125" s="49" t="str">
        <x:v>선정</x:v>
      </x:c>
      <x:c r="G125" s="13" t="str">
        <x:v>상경 용천부 등 발해 5경 자료로 국가를 식별하고 독자 연호를 선택</x:v>
      </x:c>
      <x:c r="H125" s="13" t="str">
        <x:v>일반</x:v>
      </x:c>
      <x:c r="I125" s="13" t="str">
        <x:v>상경 용천부·중경 현덕부 · 동경 용원부·남경 남해부·서경 압록부 · 숙신·예맥·옥저·고구려의 옛 땅을 연결하는 신당서 기록</x:v>
      </x:c>
      <x:c r="J125" s="13" t="str">
        <x:v>5경의 이름과 신당서의 지방 제도 설명이 가리키는 나라는 발해다. 무왕의 인안과 문왕의 대흥 등 독자 연호를 사용했으므로 ③이 맞다.</x:v>
      </x:c>
      <x:c r="K125" s="72" t="str">
        <x:v>https://www.historyexam.go.kr/atchFile/FileDown.do?atch_file_id=B_202608090227540820#page=2</x:v>
      </x:c>
      <x:c r="L125" s="72" t="str">
        <x:v>https://www.historyexam.go.kr/atchFile/FileDown.do?atch_file_id=B_202608090111475331</x:v>
      </x:c>
      <x:c r="M125" s="13" t="str">
        <x:v>추가 후보만</x:v>
      </x:c>
      <x:c r="N125" s="28" t="n">
        <x:v>3</x:v>
      </x:c>
      <x:c r="O125" s="13" t="str">
        <x:v>사용자 문제지 PDF</x:v>
      </x:c>
      <x:c r="P125" s="13" t="str">
        <x:v>79회 한국사_문제지(심화).pdf</x:v>
      </x:c>
      <x:c r="Q125" s="28" t="n">
        <x:v>2</x:v>
      </x:c>
    </x:row>
    <x:row r="126" ht="67.5" customHeight="1">
      <x:c r="A126" s="16" t="str">
        <x:v>official-79-advanced-08</x:v>
      </x:c>
      <x:c r="B126" s="27" t="n">
        <x:v>79</x:v>
      </x:c>
      <x:c r="C126" s="60" t="str">
        <x:v>심화</x:v>
      </x:c>
      <x:c r="D126" s="27" t="n">
        <x:v>8</x:v>
      </x:c>
      <x:c r="E126" s="27" t="n">
        <x:v>2</x:v>
      </x:c>
      <x:c r="F126" s="39" t="str">
        <x:v>검토만</x:v>
      </x:c>
      <x:c r="G126" s="16" t="str">
        <x:v>신문왕 2년에 예부 소속으로 설치된 국학과 유학 교육을 확인</x:v>
      </x:c>
      <x:c r="H126" s="16" t="str">
        <x:v>일반</x:v>
      </x:c>
      <x:c r="I126" s="16" t="str">
        <x:v>예부에 속하고 신문왕 2년에 설치 · 춘추좌씨전·예기·문선·논어·효경 등 유교 경전 · 독서 능력을 상품·중품·하품으로 나눈 기록도 자료에 제시</x:v>
      </x:c>
      <x:c r="J126" s="16" t="str">
        <x:v>신문왕 2년에 설치된 기관은 국학이다. 국학에는 박사와 조교가 유학을 가르쳤으므로 ②가 맞다. 자료 뒤의 독서 성적에 따른 등급은 국학의 교육·선발 관련 맥락이며, 국학 설치와 독서삼품과 시행 연도를 같은 해로 합치면 안 된다.</x:v>
      </x:c>
      <x:c r="K126" s="71" t="str">
        <x:v>https://www.historyexam.go.kr/atchFile/FileDown.do?atch_file_id=B_202608090227540820#page=2</x:v>
      </x:c>
      <x:c r="L126" s="71" t="str">
        <x:v>https://www.historyexam.go.kr/atchFile/FileDown.do?atch_file_id=B_202608090111475331</x:v>
      </x:c>
      <x:c r="M126" s="16" t="str">
        <x:v>—</x:v>
      </x:c>
      <x:c r="N126" s="27" t="n">
        <x:v>0</x:v>
      </x:c>
      <x:c r="O126" s="16" t="str">
        <x:v>사용자 문제지 PDF</x:v>
      </x:c>
      <x:c r="P126" s="16" t="str">
        <x:v>79회 한국사_문제지(심화).pdf</x:v>
      </x:c>
      <x:c r="Q126" s="27" t="n">
        <x:v>2</x:v>
      </x:c>
    </x:row>
    <x:row r="127" ht="67.5" customHeight="1">
      <x:c r="A127" s="13" t="str">
        <x:v>official-79-advanced-09</x:v>
      </x:c>
      <x:c r="B127" s="28" t="n">
        <x:v>79</x:v>
      </x:c>
      <x:c r="C127" s="61" t="str">
        <x:v>심화</x:v>
      </x:c>
      <x:c r="D127" s="28" t="n">
        <x:v>9</x:v>
      </x:c>
      <x:c r="E127" s="28" t="n">
        <x:v>5</x:v>
      </x:c>
      <x:c r="F127" s="49" t="str">
        <x:v>선정</x:v>
      </x:c>
      <x:c r="G127" s="13" t="str">
        <x:v>양길의 부하 출신으로 철원에 도읍하고 태봉을 세운 궁예를 식별</x:v>
      </x:c>
      <x:c r="H127" s="13" t="str">
        <x:v>일반</x:v>
      </x:c>
      <x:c r="I127" s="13" t="str">
        <x:v>북원 세력 양길이 부하에게 병력을 주어 북원·명주 일대를 공격하게 함 · 고구려 옛 땅에 의지하여 철원에 도읍하고 나라 이름을 태봉으로 정함</x:v>
      </x:c>
      <x:c r="J127" s="13" t="str">
        <x:v>양길의 부하 출신이며 태봉을 세운 인물은 궁예다. 궁예가 설치한 광평성을 고른다. 공산 전사의 신숭겸, 경주 사심관 김부, 후당·오월 외교의 견훤, 일리천 승리의 왕건을 구별하는 문제다.</x:v>
      </x:c>
      <x:c r="K127" s="72" t="str">
        <x:v>https://www.historyexam.go.kr/atchFile/FileDown.do?atch_file_id=B_202608090227540820#page=2</x:v>
      </x:c>
      <x:c r="L127" s="72" t="str">
        <x:v>https://www.historyexam.go.kr/atchFile/FileDown.do?atch_file_id=B_202608090111475331</x:v>
      </x:c>
      <x:c r="M127" s="13" t="str">
        <x:v>C23-S05</x:v>
      </x:c>
      <x:c r="N127" s="28" t="n">
        <x:v>6</x:v>
      </x:c>
      <x:c r="O127" s="13" t="str">
        <x:v>사용자 문제지 PDF</x:v>
      </x:c>
      <x:c r="P127" s="13" t="str">
        <x:v>79회 한국사_문제지(심화).pdf</x:v>
      </x:c>
      <x:c r="Q127" s="28" t="n">
        <x:v>2</x:v>
      </x:c>
    </x:row>
    <x:row r="128" ht="67.5" customHeight="1">
      <x:c r="A128" s="66" t="str">
        <x:v>official-79-advanced-10</x:v>
      </x:c>
      <x:c r="B128" s="69" t="n">
        <x:v>79</x:v>
      </x:c>
      <x:c r="C128" s="74" t="str">
        <x:v>심화</x:v>
      </x:c>
      <x:c r="D128" s="69" t="n">
        <x:v>10</x:v>
      </x:c>
      <x:c r="E128" s="69" t="n">
        <x:v>3</x:v>
      </x:c>
      <x:c r="F128" s="58" t="str">
        <x:v>선정</x:v>
      </x:c>
      <x:c r="G128" s="66" t="str">
        <x:v>혜공왕 피살과 장보고의 혼인 문제 사이에서 김헌창의 난을 선택</x:v>
      </x:c>
      <x:c r="H128" s="66" t="str">
        <x:v>일반</x:v>
      </x:c>
      <x:c r="I128" s="66" t="str">
        <x:v>(가) 김지정이 궁궐을 침범하고 김양상·김경신이 군사를 일으킴, 혜공왕과 왕비 피살 · (나) 청해진 대사 궁복의 딸을 왕비로 삼으려다 신하들의 반대로 거절한 상황</x:v>
      </x:c>
      <x:c r="J128" s="66" t="str">
        <x:v>첫 자료는 780년 혜공왕 피살, 둘째는 9세기 장보고의 딸 혼인 문제다. 822년 김헌창의 난은 그 사이에 해당한다. 견훤 건국과 최치원의 시무책은 뒤이고, 걸사표와 김춘추 즉위는 앞이다.</x:v>
      </x:c>
      <x:c r="K128" s="73" t="str">
        <x:v>https://www.historyexam.go.kr/atchFile/FileDown.do?atch_file_id=B_202608090227540820#page=3</x:v>
      </x:c>
      <x:c r="L128" s="73" t="str">
        <x:v>https://www.historyexam.go.kr/atchFile/FileDown.do?atch_file_id=B_202608090111475331</x:v>
      </x:c>
      <x:c r="M128" s="66" t="str">
        <x:v>C19-S01</x:v>
      </x:c>
      <x:c r="N128" s="69" t="n">
        <x:v>2</x:v>
      </x:c>
      <x:c r="O128" s="66" t="str">
        <x:v>사용자 문제지 PDF</x:v>
      </x:c>
      <x:c r="P128" s="66" t="str">
        <x:v>79회 한국사_문제지(심화).pdf</x:v>
      </x:c>
      <x:c r="Q128" s="69" t="n">
        <x:v>3</x:v>
      </x:c>
    </x:row>
  </x:sheetData>
  <x:pageMargins left="0.7" right="0.7" top="0.75" bottom="0.75" header="0.3" footer="0.3"/>
  <x:tableParts count="1">
    <x:tablePart xmlns:r="http://schemas.openxmlformats.org/officeDocument/2006/relationships" r:id="Rf25d416c171b44ef"/>
  </x:tableParts>
</x:worksheet>
</file>